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e-para Produtos" sheetId="2" state="visible" r:id="rId4"/>
    <sheet name="Insumos da BoM" sheetId="3" state="visible" r:id="rId5"/>
    <sheet name="Divergencias na Bo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<sst xmlns="http://schemas.openxmlformats.org/spreadsheetml/2006/main" count="1436" uniqueCount="819">
  <si>
    <t xml:space="preserve">De-para de Produtos — Store 407 Ops</t>
  </si>
  <si>
    <t xml:space="preserve">Gerado de Products Sales Detailed.csv e da aba BoM de Product Details.xlsx</t>
  </si>
  <si>
    <t xml:space="preserve">O problema</t>
  </si>
  <si>
    <t xml:space="preserve">O relatorio de vendas identifica o produto so pelo nome, sem codigo. A BoM usa ID App. Sem de-para, 54% dos itens vendidos nao explodem ficha tecnica.</t>
  </si>
  <si>
    <t xml:space="preserve">O que fazer</t>
  </si>
  <si>
    <t xml:space="preserve">Na aba "De-para Produtos", preencha as colunas amarelas: ID_App_confirmado, Acao e Observacao. Uma linha por produto vendido.</t>
  </si>
  <si>
    <t xml:space="preserve">Status</t>
  </si>
  <si>
    <t xml:space="preserve">Significado</t>
  </si>
  <si>
    <t xml:space="preserve">exato</t>
  </si>
  <si>
    <t xml:space="preserve">O nome bate com a BoM. So confirmar o ID App sugerido.</t>
  </si>
  <si>
    <t xml:space="preserve">aproximado</t>
  </si>
  <si>
    <t xml:space="preserve">Nome parecido encontrado. Conferir se e o mesmo produto antes de confirmar.</t>
  </si>
  <si>
    <t xml:space="preserve">sem ficha</t>
  </si>
  <si>
    <t xml:space="preserve">Nao existe ficha na BoM. Precisa cadastrar do zero no sistema.</t>
  </si>
  <si>
    <t xml:space="preserve">Acao</t>
  </si>
  <si>
    <t xml:space="preserve">Quando usar</t>
  </si>
  <si>
    <t xml:space="preserve">confirmar</t>
  </si>
  <si>
    <t xml:space="preserve">O ID App sugerido esta certo.</t>
  </si>
  <si>
    <t xml:space="preserve">corrigir</t>
  </si>
  <si>
    <t xml:space="preserve">O sugerido esta errado; o correto vai em ID_App_confirmado.</t>
  </si>
  <si>
    <t xml:space="preserve">criar ficha</t>
  </si>
  <si>
    <t xml:space="preserve">Nao existe ficha; sera cadastrada no Store Ops.</t>
  </si>
  <si>
    <t xml:space="preserve">revenda</t>
  </si>
  <si>
    <t xml:space="preserve">Produto comprado pronto: o insumo e ele mesmo, ficha de um item so.</t>
  </si>
  <si>
    <t xml:space="preserve">nao vender</t>
  </si>
  <si>
    <t xml:space="preserve">Item descontinuado, sai do cardapio.</t>
  </si>
  <si>
    <t xml:space="preserve">Exemplo de linha preenchida</t>
  </si>
  <si>
    <t xml:space="preserve">Produto</t>
  </si>
  <si>
    <t xml:space="preserve">Categoria</t>
  </si>
  <si>
    <t xml:space="preserve">Itens</t>
  </si>
  <si>
    <t xml:space="preserve">ID_App_sugerido</t>
  </si>
  <si>
    <t xml:space="preserve">ID_App_confirmado</t>
  </si>
  <si>
    <t xml:space="preserve">Observacao</t>
  </si>
  <si>
    <t xml:space="preserve">Banana Cake</t>
  </si>
  <si>
    <t xml:space="preserve">Foods</t>
  </si>
  <si>
    <t xml:space="preserve">CKBAN</t>
  </si>
  <si>
    <t xml:space="preserve">BoM chama de Banana Loaf; mesmo produto</t>
  </si>
  <si>
    <t xml:space="preserve">Receita</t>
  </si>
  <si>
    <t xml:space="preserve">Nome_na_BoM</t>
  </si>
  <si>
    <t xml:space="preserve">Similaridade</t>
  </si>
  <si>
    <t xml:space="preserve">Insumos</t>
  </si>
  <si>
    <t xml:space="preserve">Custo_BoM</t>
  </si>
  <si>
    <t xml:space="preserve">Hot Drip V60</t>
  </si>
  <si>
    <t xml:space="preserve">Methods</t>
  </si>
  <si>
    <t xml:space="preserve">Cheese bread</t>
  </si>
  <si>
    <t xml:space="preserve">Fresh Orange Juice</t>
  </si>
  <si>
    <t xml:space="preserve">Brunch All Day</t>
  </si>
  <si>
    <t xml:space="preserve">Teste Suco de Laranja</t>
  </si>
  <si>
    <t xml:space="preserve">Cake of the day</t>
  </si>
  <si>
    <t xml:space="preserve">True White</t>
  </si>
  <si>
    <t xml:space="preserve">Purist Drinks</t>
  </si>
  <si>
    <t xml:space="preserve">4TW</t>
  </si>
  <si>
    <t xml:space="preserve">Americano</t>
  </si>
  <si>
    <t xml:space="preserve">2AM</t>
  </si>
  <si>
    <t xml:space="preserve">Still Mineral Water</t>
  </si>
  <si>
    <t xml:space="preserve">Other Beverages</t>
  </si>
  <si>
    <t xml:space="preserve">Ichigo Matcha</t>
  </si>
  <si>
    <t xml:space="preserve">Signature Beverages</t>
  </si>
  <si>
    <t xml:space="preserve">9IMT</t>
  </si>
  <si>
    <t xml:space="preserve">CAKBANAPP</t>
  </si>
  <si>
    <t xml:space="preserve">Banana Loaf</t>
  </si>
  <si>
    <t xml:space="preserve">Pure Black (Double Shot)</t>
  </si>
  <si>
    <t xml:space="preserve">1PB</t>
  </si>
  <si>
    <t xml:space="preserve">Sparkling Water</t>
  </si>
  <si>
    <t xml:space="preserve">Ragù Sandwich</t>
  </si>
  <si>
    <t xml:space="preserve">RAGSANAPP</t>
  </si>
  <si>
    <t xml:space="preserve">Iced Vanilla</t>
  </si>
  <si>
    <t xml:space="preserve">1IC</t>
  </si>
  <si>
    <t xml:space="preserve">Nutty Latte (Signature)</t>
  </si>
  <si>
    <t xml:space="preserve">Croissant Traditional</t>
  </si>
  <si>
    <t xml:space="preserve">CROT</t>
  </si>
  <si>
    <t xml:space="preserve">Croissant Tradicional</t>
  </si>
  <si>
    <t xml:space="preserve">Mad Mocha</t>
  </si>
  <si>
    <t xml:space="preserve">3MC</t>
  </si>
  <si>
    <t xml:space="preserve">Grilled Cheese Sandwich</t>
  </si>
  <si>
    <t xml:space="preserve">Tiramisu Latte (Signature)</t>
  </si>
  <si>
    <t xml:space="preserve">Avocado Toast</t>
  </si>
  <si>
    <t xml:space="preserve">TOAAVOAPP</t>
  </si>
  <si>
    <t xml:space="preserve">Iced Blueberry Matcha</t>
  </si>
  <si>
    <t xml:space="preserve">Seasonal Drinks</t>
  </si>
  <si>
    <t xml:space="preserve">Cookie Traditional</t>
  </si>
  <si>
    <t xml:space="preserve">COOTRAAPP</t>
  </si>
  <si>
    <t xml:space="preserve">Grilled Ham &amp; Cheese Sandwich</t>
  </si>
  <si>
    <t xml:space="preserve">Croissant filled with cheese</t>
  </si>
  <si>
    <t xml:space="preserve">Chicken Katsu Sando</t>
  </si>
  <si>
    <t xml:space="preserve">KATSANAPP</t>
  </si>
  <si>
    <t xml:space="preserve">Iced Chocolate</t>
  </si>
  <si>
    <t xml:space="preserve">ICECHOAPP</t>
  </si>
  <si>
    <t xml:space="preserve">Iced Chocolat</t>
  </si>
  <si>
    <t xml:space="preserve">Honey Egg Croissant</t>
  </si>
  <si>
    <t xml:space="preserve">Cheese bread with cream cheese</t>
  </si>
  <si>
    <t xml:space="preserve">Matcha Tonka Iced Latte</t>
  </si>
  <si>
    <t xml:space="preserve">8MIT</t>
  </si>
  <si>
    <t xml:space="preserve">Brownie</t>
  </si>
  <si>
    <t xml:space="preserve">BRO13</t>
  </si>
  <si>
    <t xml:space="preserve">Omelet toast - BR</t>
  </si>
  <si>
    <t xml:space="preserve">TOAOMEAPP</t>
  </si>
  <si>
    <t xml:space="preserve">Omelete Toast</t>
  </si>
  <si>
    <t xml:space="preserve">Eggs Benedict</t>
  </si>
  <si>
    <t xml:space="preserve">Iced Mocha</t>
  </si>
  <si>
    <t xml:space="preserve">ICEMOCAPP</t>
  </si>
  <si>
    <t xml:space="preserve">Flat Caramel</t>
  </si>
  <si>
    <t xml:space="preserve">1FC</t>
  </si>
  <si>
    <t xml:space="preserve">Chai Latte</t>
  </si>
  <si>
    <t xml:space="preserve">6CM</t>
  </si>
  <si>
    <t xml:space="preserve">Chai Latte </t>
  </si>
  <si>
    <t xml:space="preserve">Stuffed Cheese Bread</t>
  </si>
  <si>
    <t xml:space="preserve">Pancake with Fruits and Honey</t>
  </si>
  <si>
    <t xml:space="preserve">Combo Osaka</t>
  </si>
  <si>
    <t xml:space="preserve">Tonka Latte</t>
  </si>
  <si>
    <t xml:space="preserve">9CL</t>
  </si>
  <si>
    <t xml:space="preserve">Gelato Frappé Coffee</t>
  </si>
  <si>
    <t xml:space="preserve">Gelato Frappés</t>
  </si>
  <si>
    <t xml:space="preserve">SHCO</t>
  </si>
  <si>
    <t xml:space="preserve">Gelato Frappe Coffee</t>
  </si>
  <si>
    <t xml:space="preserve">Yogurt Granola Bowl</t>
  </si>
  <si>
    <t xml:space="preserve">GRAFRUAPP</t>
  </si>
  <si>
    <t xml:space="preserve">Apple Maple Latte (Signature)</t>
  </si>
  <si>
    <t xml:space="preserve">APMALAAPP</t>
  </si>
  <si>
    <t xml:space="preserve">Apple Maple Latte</t>
  </si>
  <si>
    <t xml:space="preserve">Salted Caramel</t>
  </si>
  <si>
    <t xml:space="preserve">2SC</t>
  </si>
  <si>
    <t xml:space="preserve">Omelet Bacon Sandwich</t>
  </si>
  <si>
    <t xml:space="preserve">TOABAEGAPP</t>
  </si>
  <si>
    <t xml:space="preserve">Omelete Bacon Sandwich</t>
  </si>
  <si>
    <t xml:space="preserve">Ham and Eggs</t>
  </si>
  <si>
    <t xml:space="preserve">Cookie Triple Chocolate</t>
  </si>
  <si>
    <t xml:space="preserve">COOCHOAPP</t>
  </si>
  <si>
    <t xml:space="preserve">Macchiato</t>
  </si>
  <si>
    <t xml:space="preserve">MACCHIAPP</t>
  </si>
  <si>
    <t xml:space="preserve">Gelato Frappé Chocolate</t>
  </si>
  <si>
    <t xml:space="preserve">SHCH</t>
  </si>
  <si>
    <t xml:space="preserve">Gelato Frappe Chocolate </t>
  </si>
  <si>
    <t xml:space="preserve">Macadamia Cookie</t>
  </si>
  <si>
    <t xml:space="preserve">COOMACAPP</t>
  </si>
  <si>
    <t xml:space="preserve">Macadâmia Cookie</t>
  </si>
  <si>
    <t xml:space="preserve">Classic Caesar Salad</t>
  </si>
  <si>
    <t xml:space="preserve">Combo Tokyo</t>
  </si>
  <si>
    <t xml:space="preserve">Croissant filled with cheese and cured ham</t>
  </si>
  <si>
    <t xml:space="preserve">Sun-dried Tomato, Pesto &amp; Cheese Sando</t>
  </si>
  <si>
    <t xml:space="preserve">Gelato Frappé Mocha</t>
  </si>
  <si>
    <t xml:space="preserve">SHMO</t>
  </si>
  <si>
    <t xml:space="preserve">Gelato Frappe Mocca</t>
  </si>
  <si>
    <t xml:space="preserve">Matcha Iced Latte</t>
  </si>
  <si>
    <t xml:space="preserve">4MIL</t>
  </si>
  <si>
    <t xml:space="preserve">Matcha Vanilla Latte</t>
  </si>
  <si>
    <t xml:space="preserve">7MVT</t>
  </si>
  <si>
    <t xml:space="preserve">Matcha Tonic</t>
  </si>
  <si>
    <t xml:space="preserve">MATTONAPP</t>
  </si>
  <si>
    <t xml:space="preserve">Iced Spanish Latte</t>
  </si>
  <si>
    <t xml:space="preserve">Pain au Chocolat</t>
  </si>
  <si>
    <t xml:space="preserve">3FOOD3</t>
  </si>
  <si>
    <t xml:space="preserve">Urban Chocolate</t>
  </si>
  <si>
    <t xml:space="preserve">4UC</t>
  </si>
  <si>
    <t xml:space="preserve">Urban Chocolat</t>
  </si>
  <si>
    <t xml:space="preserve">Vanilla Latte</t>
  </si>
  <si>
    <t xml:space="preserve">2VLT</t>
  </si>
  <si>
    <t xml:space="preserve">Caramel Bar</t>
  </si>
  <si>
    <t xml:space="preserve">CARLATAPP</t>
  </si>
  <si>
    <t xml:space="preserve">Caramel Latte</t>
  </si>
  <si>
    <t xml:space="preserve">Salted Caramel Cookie</t>
  </si>
  <si>
    <t xml:space="preserve">COOCARAPP</t>
  </si>
  <si>
    <t xml:space="preserve">Brigadeiro</t>
  </si>
  <si>
    <t xml:space="preserve">BRIG10</t>
  </si>
  <si>
    <t xml:space="preserve">Buffalo Mozzarella and Arugula</t>
  </si>
  <si>
    <t xml:space="preserve">Iced Latte</t>
  </si>
  <si>
    <t xml:space="preserve">5IL</t>
  </si>
  <si>
    <t xml:space="preserve">Gelato Frappé Chai</t>
  </si>
  <si>
    <t xml:space="preserve">SHCI</t>
  </si>
  <si>
    <t xml:space="preserve">Gelato Frappe Chai </t>
  </si>
  <si>
    <t xml:space="preserve">Omelet Cheese Sandwich</t>
  </si>
  <si>
    <t xml:space="preserve">Croissant filled with ricotta and honey</t>
  </si>
  <si>
    <t xml:space="preserve">Matcha Latte</t>
  </si>
  <si>
    <t xml:space="preserve">5MC</t>
  </si>
  <si>
    <t xml:space="preserve">Fruits Salad</t>
  </si>
  <si>
    <t xml:space="preserve">FRUIT1</t>
  </si>
  <si>
    <t xml:space="preserve">Fruit Salad</t>
  </si>
  <si>
    <t xml:space="preserve">Fresh Soda Strawberry</t>
  </si>
  <si>
    <t xml:space="preserve">Fresh Soda</t>
  </si>
  <si>
    <t xml:space="preserve">Spanish Latte</t>
  </si>
  <si>
    <t xml:space="preserve">Fresh Soda Pink Lemonade</t>
  </si>
  <si>
    <t xml:space="preserve">FSOD2</t>
  </si>
  <si>
    <t xml:space="preserve">Fresh Soda - Pink Lemonade</t>
  </si>
  <si>
    <t xml:space="preserve">Red Juice</t>
  </si>
  <si>
    <t xml:space="preserve">JUI33</t>
  </si>
  <si>
    <t xml:space="preserve">Red Juice </t>
  </si>
  <si>
    <t xml:space="preserve">Espresso Tonic</t>
  </si>
  <si>
    <t xml:space="preserve">Buttered Toast</t>
  </si>
  <si>
    <t xml:space="preserve">Total</t>
  </si>
  <si>
    <t xml:space="preserve">Itens com ficha exata</t>
  </si>
  <si>
    <t xml:space="preserve">Itens recuperaveis (aproximado)</t>
  </si>
  <si>
    <t xml:space="preserve">Itens sem ficha</t>
  </si>
  <si>
    <t xml:space="preserve">Cobertura apos preencher</t>
  </si>
  <si>
    <t xml:space="preserve">ID_Insumo</t>
  </si>
  <si>
    <t xml:space="preserve">Insumo</t>
  </si>
  <si>
    <t xml:space="preserve">Fichas</t>
  </si>
  <si>
    <t xml:space="preserve">Custo_pacote</t>
  </si>
  <si>
    <t xml:space="preserve">Variantes_de_custo</t>
  </si>
  <si>
    <t xml:space="preserve">Embalagem</t>
  </si>
  <si>
    <t xml:space="preserve">Unidade</t>
  </si>
  <si>
    <t xml:space="preserve">Insumo_unificado</t>
  </si>
  <si>
    <t xml:space="preserve">Unidade_estoque</t>
  </si>
  <si>
    <t xml:space="preserve">MLKI</t>
  </si>
  <si>
    <t xml:space="preserve">Milk</t>
  </si>
  <si>
    <t xml:space="preserve">ml</t>
  </si>
  <si>
    <t xml:space="preserve">COFFEE</t>
  </si>
  <si>
    <t xml:space="preserve">Coffee</t>
  </si>
  <si>
    <t xml:space="preserve">g</t>
  </si>
  <si>
    <t xml:space="preserve">LID3</t>
  </si>
  <si>
    <t xml:space="preserve">Lid 440 ml</t>
  </si>
  <si>
    <t xml:space="preserve">un</t>
  </si>
  <si>
    <t xml:space="preserve">CUPI</t>
  </si>
  <si>
    <t xml:space="preserve">Cup 440 ml</t>
  </si>
  <si>
    <t xml:space="preserve">STRAWC</t>
  </si>
  <si>
    <t xml:space="preserve">Straw The Coffee</t>
  </si>
  <si>
    <t xml:space="preserve">NAP3</t>
  </si>
  <si>
    <t xml:space="preserve">Napkin </t>
  </si>
  <si>
    <t xml:space="preserve">EBDCN</t>
  </si>
  <si>
    <t xml:space="preserve">Sweet Package P</t>
  </si>
  <si>
    <t xml:space="preserve">CUPG</t>
  </si>
  <si>
    <t xml:space="preserve">Cup 240 ml (import)</t>
  </si>
  <si>
    <t xml:space="preserve">ISUG</t>
  </si>
  <si>
    <t xml:space="preserve">Brown Sugar</t>
  </si>
  <si>
    <t xml:space="preserve">LID1</t>
  </si>
  <si>
    <t xml:space="preserve">Lid 240 ml</t>
  </si>
  <si>
    <t xml:space="preserve">SVV</t>
  </si>
  <si>
    <t xml:space="preserve">Syrup Vanilla (Villarosa)</t>
  </si>
  <si>
    <t xml:space="preserve">ADVB</t>
  </si>
  <si>
    <t xml:space="preserve">Round Stick</t>
  </si>
  <si>
    <t xml:space="preserve">MATCHA</t>
  </si>
  <si>
    <t xml:space="preserve">Matcha</t>
  </si>
  <si>
    <t xml:space="preserve">COCE</t>
  </si>
  <si>
    <t xml:space="preserve">Syrup Coconut</t>
  </si>
  <si>
    <t xml:space="preserve">ICEAFF</t>
  </si>
  <si>
    <t xml:space="preserve">Ice cream </t>
  </si>
  <si>
    <t xml:space="preserve">CUPP</t>
  </si>
  <si>
    <t xml:space="preserve">Cup 120 ml (import)</t>
  </si>
  <si>
    <t xml:space="preserve">SCM</t>
  </si>
  <si>
    <t xml:space="preserve">Syrup Cumaru (Villarosa)</t>
  </si>
  <si>
    <t xml:space="preserve">PBRIO1</t>
  </si>
  <si>
    <t xml:space="preserve">Pão Brioche </t>
  </si>
  <si>
    <t xml:space="preserve">CCCT</t>
  </si>
  <si>
    <t xml:space="preserve">IGRA</t>
  </si>
  <si>
    <t xml:space="preserve">H Chocolate Sprinkles (Granulado)</t>
  </si>
  <si>
    <t xml:space="preserve">IC100</t>
  </si>
  <si>
    <t xml:space="preserve">Cocoa Powder 100%</t>
  </si>
  <si>
    <t xml:space="preserve">HON</t>
  </si>
  <si>
    <t xml:space="preserve">Honey</t>
  </si>
  <si>
    <t xml:space="preserve">WTHEG</t>
  </si>
  <si>
    <t xml:space="preserve">RCB250</t>
  </si>
  <si>
    <t xml:space="preserve">Coffee 250g Black</t>
  </si>
  <si>
    <t xml:space="preserve">CHAI</t>
  </si>
  <si>
    <t xml:space="preserve">Chai Masala</t>
  </si>
  <si>
    <t xml:space="preserve">*CAKE</t>
  </si>
  <si>
    <t xml:space="preserve">Cake</t>
  </si>
  <si>
    <t xml:space="preserve">QUEIJO2</t>
  </si>
  <si>
    <t xml:space="preserve">Queijo Mussarela </t>
  </si>
  <si>
    <t xml:space="preserve">ST</t>
  </si>
  <si>
    <t xml:space="preserve">Tonic Soda</t>
  </si>
  <si>
    <t xml:space="preserve">REQ4</t>
  </si>
  <si>
    <t xml:space="preserve">Requeijão </t>
  </si>
  <si>
    <t xml:space="preserve">RCK250</t>
  </si>
  <si>
    <t xml:space="preserve">Coffee 250g Kraft</t>
  </si>
  <si>
    <t xml:space="preserve">Água Potavel</t>
  </si>
  <si>
    <t xml:space="preserve">Água Potável</t>
  </si>
  <si>
    <t xml:space="preserve">*COOKIE</t>
  </si>
  <si>
    <t xml:space="preserve">Cookie</t>
  </si>
  <si>
    <t xml:space="preserve">SYPTED</t>
  </si>
  <si>
    <t xml:space="preserve">Syrup Salted Caramel (Villlarosa)</t>
  </si>
  <si>
    <t xml:space="preserve">SPOON</t>
  </si>
  <si>
    <t xml:space="preserve">Wooden Spoon</t>
  </si>
  <si>
    <t xml:space="preserve">PrepChoco</t>
  </si>
  <si>
    <t xml:space="preserve">Chocolat Sauce</t>
  </si>
  <si>
    <t xml:space="preserve">Gelo</t>
  </si>
  <si>
    <t xml:space="preserve">FRUTA1</t>
  </si>
  <si>
    <t xml:space="preserve">Morango</t>
  </si>
  <si>
    <t xml:space="preserve">FSUGAR</t>
  </si>
  <si>
    <t xml:space="preserve">Açucar Demerara</t>
  </si>
  <si>
    <t xml:space="preserve">PãoFNat</t>
  </si>
  <si>
    <t xml:space="preserve">60g Fatia de Sourdough</t>
  </si>
  <si>
    <t xml:space="preserve">PDQ1</t>
  </si>
  <si>
    <t xml:space="preserve">Pão de queijo 60g - Queijo Mais</t>
  </si>
  <si>
    <t xml:space="preserve">VinLem</t>
  </si>
  <si>
    <t xml:space="preserve">Vinagrete de Limão</t>
  </si>
  <si>
    <t xml:space="preserve">MILKV</t>
  </si>
  <si>
    <t xml:space="preserve">Veggie Milk</t>
  </si>
  <si>
    <t xml:space="preserve">CT</t>
  </si>
  <si>
    <t xml:space="preserve">SUGDMR</t>
  </si>
  <si>
    <t xml:space="preserve">Demerara Sugar</t>
  </si>
  <si>
    <t xml:space="preserve">EGG</t>
  </si>
  <si>
    <t xml:space="preserve">Egg</t>
  </si>
  <si>
    <t xml:space="preserve">Butter</t>
  </si>
  <si>
    <t xml:space="preserve">*BRIOCH</t>
  </si>
  <si>
    <t xml:space="preserve">Brioches</t>
  </si>
  <si>
    <t xml:space="preserve">*CROI</t>
  </si>
  <si>
    <t xml:space="preserve">Croissant</t>
  </si>
  <si>
    <t xml:space="preserve">*BRI</t>
  </si>
  <si>
    <t xml:space="preserve">SVM</t>
  </si>
  <si>
    <t xml:space="preserve">Syrup Mint (Villarosa)</t>
  </si>
  <si>
    <t xml:space="preserve">CBR</t>
  </si>
  <si>
    <t xml:space="preserve">RCW250</t>
  </si>
  <si>
    <t xml:space="preserve">Coffee 250g White</t>
  </si>
  <si>
    <t xml:space="preserve">CUPAFF</t>
  </si>
  <si>
    <t xml:space="preserve">Cup Affogato 160 ml </t>
  </si>
  <si>
    <t xml:space="preserve">SVC</t>
  </si>
  <si>
    <t xml:space="preserve">Syrup Caramel (Villarosa)</t>
  </si>
  <si>
    <t xml:space="preserve">CM</t>
  </si>
  <si>
    <t xml:space="preserve">Cookie Macadamia</t>
  </si>
  <si>
    <t xml:space="preserve">XAG</t>
  </si>
  <si>
    <t xml:space="preserve">Syrup Ginger (1883)</t>
  </si>
  <si>
    <t xml:space="preserve">TOMAT6</t>
  </si>
  <si>
    <t xml:space="preserve">Tomate Cereja </t>
  </si>
  <si>
    <t xml:space="preserve">FRUTA2</t>
  </si>
  <si>
    <t xml:space="preserve">Limão</t>
  </si>
  <si>
    <t xml:space="preserve">TUMBR360</t>
  </si>
  <si>
    <t xml:space="preserve">Tumbler 360ml White</t>
  </si>
  <si>
    <t xml:space="preserve">BRIN</t>
  </si>
  <si>
    <t xml:space="preserve">Brigadeiro Ninho com Nutella</t>
  </si>
  <si>
    <t xml:space="preserve">BL</t>
  </si>
  <si>
    <t xml:space="preserve">Cake Limao</t>
  </si>
  <si>
    <t xml:space="preserve">Arug</t>
  </si>
  <si>
    <t xml:space="preserve">Arugula (Rúcula Baby)</t>
  </si>
  <si>
    <t xml:space="preserve">TOA</t>
  </si>
  <si>
    <t xml:space="preserve">Toast</t>
  </si>
  <si>
    <t xml:space="preserve">VegOil</t>
  </si>
  <si>
    <t xml:space="preserve">óleo vegetal</t>
  </si>
  <si>
    <t xml:space="preserve">ICAR</t>
  </si>
  <si>
    <t xml:space="preserve">Caramel Sauce</t>
  </si>
  <si>
    <t xml:space="preserve">PBrio1</t>
  </si>
  <si>
    <t xml:space="preserve">60g Fatia de Pão Brioche</t>
  </si>
  <si>
    <t xml:space="preserve">PRES5</t>
  </si>
  <si>
    <t xml:space="preserve">Presunto </t>
  </si>
  <si>
    <t xml:space="preserve">PACC</t>
  </si>
  <si>
    <t xml:space="preserve">PrepMatcha</t>
  </si>
  <si>
    <t xml:space="preserve">Preparado de Matcha</t>
  </si>
  <si>
    <t xml:space="preserve">CHCA40</t>
  </si>
  <si>
    <t xml:space="preserve">Chocolate 70% de Cacau Amazônico 40g</t>
  </si>
  <si>
    <t xml:space="preserve">CSC</t>
  </si>
  <si>
    <t xml:space="preserve">Cookie Salted Caramel</t>
  </si>
  <si>
    <t xml:space="preserve">Queijo3</t>
  </si>
  <si>
    <t xml:space="preserve">Queijo Parmesão</t>
  </si>
  <si>
    <t xml:space="preserve">Ricotta</t>
  </si>
  <si>
    <t xml:space="preserve">100g de creme de ricota</t>
  </si>
  <si>
    <t xml:space="preserve">CHCA08</t>
  </si>
  <si>
    <t xml:space="preserve">Chocolate 70% de Cacau Amazônico 8g</t>
  </si>
  <si>
    <t xml:space="preserve">STRBRY</t>
  </si>
  <si>
    <t xml:space="preserve">Strawberry (3rd ptyl)</t>
  </si>
  <si>
    <t xml:space="preserve">Hon</t>
  </si>
  <si>
    <t xml:space="preserve">NAPACK</t>
  </si>
  <si>
    <t xml:space="preserve">Packed Napkin</t>
  </si>
  <si>
    <t xml:space="preserve">ECOC</t>
  </si>
  <si>
    <t xml:space="preserve">Beige Totebag</t>
  </si>
  <si>
    <t xml:space="preserve">RicottaSalt</t>
  </si>
  <si>
    <t xml:space="preserve">Creme de Ricota salgado</t>
  </si>
  <si>
    <t xml:space="preserve">CBB</t>
  </si>
  <si>
    <t xml:space="preserve">Cake Banana</t>
  </si>
  <si>
    <t xml:space="preserve">BlendHalloween</t>
  </si>
  <si>
    <t xml:space="preserve">Blend de Halloween</t>
  </si>
  <si>
    <t xml:space="preserve">ICECC</t>
  </si>
  <si>
    <t xml:space="preserve">Ice Cream Cone</t>
  </si>
  <si>
    <t xml:space="preserve">GELO</t>
  </si>
  <si>
    <t xml:space="preserve">ICECG</t>
  </si>
  <si>
    <t xml:space="preserve">Ice Cream Gloves</t>
  </si>
  <si>
    <t xml:space="preserve">Garlic</t>
  </si>
  <si>
    <t xml:space="preserve">EMPC</t>
  </si>
  <si>
    <t xml:space="preserve">Meat Pie</t>
  </si>
  <si>
    <t xml:space="preserve">TUMBR240</t>
  </si>
  <si>
    <t xml:space="preserve">Tumbler 240ml White</t>
  </si>
  <si>
    <t xml:space="preserve">10g Rúcula</t>
  </si>
  <si>
    <t xml:space="preserve">VANICE</t>
  </si>
  <si>
    <t xml:space="preserve">Vanilla Ice Cream</t>
  </si>
  <si>
    <t xml:space="preserve">FIL45</t>
  </si>
  <si>
    <t xml:space="preserve">Chemex Filter</t>
  </si>
  <si>
    <t xml:space="preserve">BLR</t>
  </si>
  <si>
    <t xml:space="preserve">Cake Laranja</t>
  </si>
  <si>
    <t xml:space="preserve">FRUTA3</t>
  </si>
  <si>
    <t xml:space="preserve">Kiwi</t>
  </si>
  <si>
    <t xml:space="preserve">Salt</t>
  </si>
  <si>
    <t xml:space="preserve">ALMONDRAGGE</t>
  </si>
  <si>
    <t xml:space="preserve">Almond Draggee - Belgian bittersweet</t>
  </si>
  <si>
    <t xml:space="preserve">TOASTPC</t>
  </si>
  <si>
    <t xml:space="preserve">Toast Parmesan Cheese </t>
  </si>
  <si>
    <t xml:space="preserve">WoodFork</t>
  </si>
  <si>
    <t xml:space="preserve">Garfo Descartável de Madeira</t>
  </si>
  <si>
    <t xml:space="preserve">SmokPapri</t>
  </si>
  <si>
    <t xml:space="preserve">Smoked paprika</t>
  </si>
  <si>
    <t xml:space="preserve">CCT</t>
  </si>
  <si>
    <t xml:space="preserve">CHIMO</t>
  </si>
  <si>
    <t xml:space="preserve">Chimochai</t>
  </si>
  <si>
    <t xml:space="preserve">SALT</t>
  </si>
  <si>
    <t xml:space="preserve">SYAVELAPP</t>
  </si>
  <si>
    <t xml:space="preserve">Syrup Nutty</t>
  </si>
  <si>
    <t xml:space="preserve">STZS</t>
  </si>
  <si>
    <t xml:space="preserve">Tonic Soda Zero Sugar</t>
  </si>
  <si>
    <t xml:space="preserve">SiciLe</t>
  </si>
  <si>
    <t xml:space="preserve">1g Zest de Limão Siciliano</t>
  </si>
  <si>
    <t xml:space="preserve">Chia</t>
  </si>
  <si>
    <t xml:space="preserve">sementes de chia</t>
  </si>
  <si>
    <t xml:space="preserve">RedJelly</t>
  </si>
  <si>
    <t xml:space="preserve">Geléia de Frutas Vermelhas Classic - balde 1.2kg (Queensberg)</t>
  </si>
  <si>
    <t xml:space="preserve">Queijo5</t>
  </si>
  <si>
    <t xml:space="preserve">Queijo Provolone Fatiado</t>
  </si>
  <si>
    <t xml:space="preserve">Queijo4</t>
  </si>
  <si>
    <t xml:space="preserve">Queijo de Búfaba</t>
  </si>
  <si>
    <t xml:space="preserve">QUEIJO3</t>
  </si>
  <si>
    <t xml:space="preserve">CSTD</t>
  </si>
  <si>
    <t xml:space="preserve">Crocante de Caramelo</t>
  </si>
  <si>
    <t xml:space="preserve">BacCri</t>
  </si>
  <si>
    <t xml:space="preserve">Bacon Crispy</t>
  </si>
  <si>
    <t xml:space="preserve">1g de sal</t>
  </si>
  <si>
    <t xml:space="preserve">50g Creme de Ricota Salgado Prep.</t>
  </si>
  <si>
    <t xml:space="preserve">RicottaSweet</t>
  </si>
  <si>
    <t xml:space="preserve">120g Creme de Ricota Doce Prep.</t>
  </si>
  <si>
    <t xml:space="preserve">PeaButter</t>
  </si>
  <si>
    <t xml:space="preserve">50g Chunky Peanut Butter</t>
  </si>
  <si>
    <t xml:space="preserve">PrepChai</t>
  </si>
  <si>
    <t xml:space="preserve">Chai Prepared</t>
  </si>
  <si>
    <t xml:space="preserve">PrepBlue</t>
  </si>
  <si>
    <t xml:space="preserve">Preparado Azul</t>
  </si>
  <si>
    <t xml:space="preserve">Ricotta cream</t>
  </si>
  <si>
    <t xml:space="preserve">120g Fatias de Sourdough</t>
  </si>
  <si>
    <t xml:space="preserve">CanelaPó</t>
  </si>
  <si>
    <t xml:space="preserve">canela em pó</t>
  </si>
  <si>
    <t xml:space="preserve">LoafSu</t>
  </si>
  <si>
    <t xml:space="preserve">Loaf sugar  (Açúcar refinado)</t>
  </si>
  <si>
    <t xml:space="preserve">20g de açúcar refinado</t>
  </si>
  <si>
    <t xml:space="preserve">FIP</t>
  </si>
  <si>
    <t xml:space="preserve">Paper Filter</t>
  </si>
  <si>
    <t xml:space="preserve">FESP</t>
  </si>
  <si>
    <t xml:space="preserve">Anis Estrelado</t>
  </si>
  <si>
    <t xml:space="preserve">OilOliv</t>
  </si>
  <si>
    <t xml:space="preserve">5g Azeite</t>
  </si>
  <si>
    <t xml:space="preserve">MILK0</t>
  </si>
  <si>
    <t xml:space="preserve">Zero Lactose Milk</t>
  </si>
  <si>
    <t xml:space="preserve">MUGC</t>
  </si>
  <si>
    <t xml:space="preserve">Mug White </t>
  </si>
  <si>
    <t xml:space="preserve">FRAVR6</t>
  </si>
  <si>
    <t xml:space="preserve">Frapemix (Villa Rosa)</t>
  </si>
  <si>
    <t xml:space="preserve">EmbDesc</t>
  </si>
  <si>
    <t xml:space="preserve">Embalagem descrtável para bolo fatia</t>
  </si>
  <si>
    <t xml:space="preserve">LAGARTO</t>
  </si>
  <si>
    <t xml:space="preserve">Lagarto 1kg</t>
  </si>
  <si>
    <t xml:space="preserve">Trig</t>
  </si>
  <si>
    <t xml:space="preserve">farinha de trigo</t>
  </si>
  <si>
    <t xml:space="preserve">WATHE</t>
  </si>
  <si>
    <t xml:space="preserve">Water The Coffee </t>
  </si>
  <si>
    <t xml:space="preserve">WCRY</t>
  </si>
  <si>
    <t xml:space="preserve">Crystal Water 500ml</t>
  </si>
  <si>
    <t xml:space="preserve">GARLIC</t>
  </si>
  <si>
    <t xml:space="preserve">5g de alho</t>
  </si>
  <si>
    <t xml:space="preserve">10g Mel</t>
  </si>
  <si>
    <t xml:space="preserve">Granola</t>
  </si>
  <si>
    <t xml:space="preserve">Preparado de Granola</t>
  </si>
  <si>
    <t xml:space="preserve">Fruta1</t>
  </si>
  <si>
    <t xml:space="preserve">BUTTER</t>
  </si>
  <si>
    <t xml:space="preserve">10g Manteiga</t>
  </si>
  <si>
    <t xml:space="preserve">TURMERIC</t>
  </si>
  <si>
    <t xml:space="preserve">Turmeric (Cúrcuma)</t>
  </si>
  <si>
    <t xml:space="preserve">VanExt</t>
  </si>
  <si>
    <t xml:space="preserve">5g de extrato de baunilha</t>
  </si>
  <si>
    <t xml:space="preserve">Vanilla Extract</t>
  </si>
  <si>
    <t xml:space="preserve">BANTK2</t>
  </si>
  <si>
    <t xml:space="preserve">Kraft Tray</t>
  </si>
  <si>
    <t xml:space="preserve">BPepper</t>
  </si>
  <si>
    <t xml:space="preserve">1g Pimenta-do-reino</t>
  </si>
  <si>
    <t xml:space="preserve">Black Pepper</t>
  </si>
  <si>
    <t xml:space="preserve">Alecrim</t>
  </si>
  <si>
    <t xml:space="preserve">AlmSli</t>
  </si>
  <si>
    <t xml:space="preserve">10g Amendoas tostadas</t>
  </si>
  <si>
    <t xml:space="preserve">Almond Sliced (Amendoas laminadas)</t>
  </si>
  <si>
    <t xml:space="preserve">Amendoa</t>
  </si>
  <si>
    <t xml:space="preserve">Amendoas </t>
  </si>
  <si>
    <t xml:space="preserve">AveiaFlocos</t>
  </si>
  <si>
    <t xml:space="preserve">Aveia em flocos</t>
  </si>
  <si>
    <t xml:space="preserve">Avocado</t>
  </si>
  <si>
    <t xml:space="preserve">AçucarMascavo</t>
  </si>
  <si>
    <t xml:space="preserve">açúcar mascavo</t>
  </si>
  <si>
    <t xml:space="preserve">BCB</t>
  </si>
  <si>
    <t xml:space="preserve">Cold Brew Bottle</t>
  </si>
  <si>
    <t xml:space="preserve">BISNAT</t>
  </si>
  <si>
    <t xml:space="preserve">Biscoito de Natal</t>
  </si>
  <si>
    <t xml:space="preserve">BLCHIA</t>
  </si>
  <si>
    <t xml:space="preserve">Cake Limão e Chia</t>
  </si>
  <si>
    <t xml:space="preserve">BOXGIF</t>
  </si>
  <si>
    <t xml:space="preserve">Caixa de natal 2024</t>
  </si>
  <si>
    <t xml:space="preserve">1g de pimenta do reino</t>
  </si>
  <si>
    <t xml:space="preserve">1g de pimenta-do-reino</t>
  </si>
  <si>
    <t xml:space="preserve">BRCH</t>
  </si>
  <si>
    <t xml:space="preserve">Chocolate Brioche</t>
  </si>
  <si>
    <t xml:space="preserve">BRIBR</t>
  </si>
  <si>
    <t xml:space="preserve">Brigadeiro Brulée </t>
  </si>
  <si>
    <t xml:space="preserve">BRIOGS</t>
  </si>
  <si>
    <t xml:space="preserve">Brioche Gouda &amp; Salsa </t>
  </si>
  <si>
    <t xml:space="preserve">BRIOTSM</t>
  </si>
  <si>
    <t xml:space="preserve">Brioche Tomate Seco e Manjericão </t>
  </si>
  <si>
    <t xml:space="preserve">BRIT</t>
  </si>
  <si>
    <t xml:space="preserve">Brigadeiro Traditional</t>
  </si>
  <si>
    <t xml:space="preserve">BSesame</t>
  </si>
  <si>
    <t xml:space="preserve">1g Gergelim Torrado</t>
  </si>
  <si>
    <t xml:space="preserve">BTK</t>
  </si>
  <si>
    <t xml:space="preserve">Bostok</t>
  </si>
  <si>
    <t xml:space="preserve">BUNCAR</t>
  </si>
  <si>
    <t xml:space="preserve">Bun Caramelo</t>
  </si>
  <si>
    <t xml:space="preserve">BUNCHO</t>
  </si>
  <si>
    <t xml:space="preserve">Bun Chocolate</t>
  </si>
  <si>
    <t xml:space="preserve">TRANAT</t>
  </si>
  <si>
    <t xml:space="preserve">Biscoito de natal 2024 Amanteigado</t>
  </si>
  <si>
    <t xml:space="preserve">TUMPR240</t>
  </si>
  <si>
    <t xml:space="preserve">Tumbler 240ml Black</t>
  </si>
  <si>
    <t xml:space="preserve">TUMPR360</t>
  </si>
  <si>
    <t xml:space="preserve">Tumbler 360ml Black</t>
  </si>
  <si>
    <t xml:space="preserve">Teste 75g</t>
  </si>
  <si>
    <t xml:space="preserve">Pão de queijo 75g - Nuu</t>
  </si>
  <si>
    <t xml:space="preserve">Teste 90g</t>
  </si>
  <si>
    <t xml:space="preserve">Pão de queijo 90g - Nuu</t>
  </si>
  <si>
    <t xml:space="preserve">Teste Cinamonn Roll</t>
  </si>
  <si>
    <t xml:space="preserve">CINAMONN Roll de Canela 70gr cx64un</t>
  </si>
  <si>
    <t xml:space="preserve">Teste Cinamonn Roll Cobertura</t>
  </si>
  <si>
    <t xml:space="preserve">CINAMONN Roll de Canela 70gr cx64un Cobertura</t>
  </si>
  <si>
    <t xml:space="preserve">Teste Eclair</t>
  </si>
  <si>
    <t xml:space="preserve">ECLAIR Chocolate Branco 50gr cx135un</t>
  </si>
  <si>
    <t xml:space="preserve">TestePrataGas</t>
  </si>
  <si>
    <t xml:space="preserve">Sparkling Water Prata  300ml </t>
  </si>
  <si>
    <t xml:space="preserve">Thyme</t>
  </si>
  <si>
    <t xml:space="preserve">Thyme (Tomilho)</t>
  </si>
  <si>
    <t xml:space="preserve">TomConf</t>
  </si>
  <si>
    <t xml:space="preserve">50g Tomates Confit Prep.</t>
  </si>
  <si>
    <t xml:space="preserve">Tomate Confit Prep.</t>
  </si>
  <si>
    <t xml:space="preserve">Tomat6</t>
  </si>
  <si>
    <t xml:space="preserve">300g tomate cereja</t>
  </si>
  <si>
    <t xml:space="preserve">UMBR</t>
  </si>
  <si>
    <t xml:space="preserve">White Umbrella</t>
  </si>
  <si>
    <t xml:space="preserve">UMBRT</t>
  </si>
  <si>
    <t xml:space="preserve">Transparent Umbrella</t>
  </si>
  <si>
    <t xml:space="preserve">5g Vinagrete de Limão Prep.</t>
  </si>
  <si>
    <t xml:space="preserve">WATPRA</t>
  </si>
  <si>
    <t xml:space="preserve">Still Mineral Water Prata  300ml </t>
  </si>
  <si>
    <t xml:space="preserve">WFFC</t>
  </si>
  <si>
    <t xml:space="preserve">Waffle</t>
  </si>
  <si>
    <t xml:space="preserve">WGCRY</t>
  </si>
  <si>
    <t xml:space="preserve">Crystal Water 500ml Sparkling Water</t>
  </si>
  <si>
    <t xml:space="preserve">WPILF</t>
  </si>
  <si>
    <t xml:space="preserve">Mineral Water Sparkling WaterSilver Pilfer Glass 300ml</t>
  </si>
  <si>
    <t xml:space="preserve">ARUG</t>
  </si>
  <si>
    <t xml:space="preserve">Filé Frango</t>
  </si>
  <si>
    <t xml:space="preserve">Filé Peito de Frango</t>
  </si>
  <si>
    <t xml:space="preserve">FineHe</t>
  </si>
  <si>
    <t xml:space="preserve">1g ervas finas frescas</t>
  </si>
  <si>
    <t xml:space="preserve">40g Morangos Frescos</t>
  </si>
  <si>
    <t xml:space="preserve">GJUI</t>
  </si>
  <si>
    <t xml:space="preserve">Grape Juice - Casa Madeira </t>
  </si>
  <si>
    <t xml:space="preserve">GRAN3</t>
  </si>
  <si>
    <t xml:space="preserve">GRAN4</t>
  </si>
  <si>
    <t xml:space="preserve">Ginger</t>
  </si>
  <si>
    <t xml:space="preserve">Gengibre</t>
  </si>
  <si>
    <t xml:space="preserve">HAM001</t>
  </si>
  <si>
    <t xml:space="preserve">Ham 01</t>
  </si>
  <si>
    <t xml:space="preserve">IGRB</t>
  </si>
  <si>
    <t xml:space="preserve">Granulado Branco - 400 G Granulé Melken Harald</t>
  </si>
  <si>
    <t xml:space="preserve">IciSug</t>
  </si>
  <si>
    <t xml:space="preserve">Icing sugar (Açucar de Confeiteiro)</t>
  </si>
  <si>
    <t xml:space="preserve">Iogurte</t>
  </si>
  <si>
    <t xml:space="preserve">JACHCA</t>
  </si>
  <si>
    <t xml:space="preserve">Fluffy Japanese cheesecake</t>
  </si>
  <si>
    <t xml:space="preserve">JUIBC</t>
  </si>
  <si>
    <t xml:space="preserve">Orange, beetroot and carrot Juice 250ml</t>
  </si>
  <si>
    <t xml:space="preserve">JUIG</t>
  </si>
  <si>
    <t xml:space="preserve">Green Juice 250ml</t>
  </si>
  <si>
    <t xml:space="preserve">JUIO2</t>
  </si>
  <si>
    <t xml:space="preserve">Orange Juice 250ml</t>
  </si>
  <si>
    <t xml:space="preserve">JUIOM</t>
  </si>
  <si>
    <t xml:space="preserve">Pineapple juice with mint 250ml</t>
  </si>
  <si>
    <t xml:space="preserve">JamBlue</t>
  </si>
  <si>
    <t xml:space="preserve">50g Geleia de mirtilo</t>
  </si>
  <si>
    <t xml:space="preserve">Jamblue</t>
  </si>
  <si>
    <t xml:space="preserve">40g Geléia de Mirtilos</t>
  </si>
  <si>
    <t xml:space="preserve">Jamon</t>
  </si>
  <si>
    <t xml:space="preserve">Jamon Serrano</t>
  </si>
  <si>
    <t xml:space="preserve">Ketchup</t>
  </si>
  <si>
    <t xml:space="preserve">LOAFSU</t>
  </si>
  <si>
    <t xml:space="preserve">72g de açúcar refinado</t>
  </si>
  <si>
    <t xml:space="preserve">10g de açúcar refinado</t>
  </si>
  <si>
    <t xml:space="preserve">MAPSYR</t>
  </si>
  <si>
    <t xml:space="preserve">Maple Syrop + 5g agua</t>
  </si>
  <si>
    <t xml:space="preserve">MATLAT</t>
  </si>
  <si>
    <t xml:space="preserve">Matcha Can 30g</t>
  </si>
  <si>
    <t xml:space="preserve">MATRF</t>
  </si>
  <si>
    <t xml:space="preserve">Refill Matcha Sachet 30g</t>
  </si>
  <si>
    <t xml:space="preserve">15g Leite Integral</t>
  </si>
  <si>
    <t xml:space="preserve">80g de leite</t>
  </si>
  <si>
    <t xml:space="preserve">MUFFIN</t>
  </si>
  <si>
    <t xml:space="preserve">Muffin</t>
  </si>
  <si>
    <t xml:space="preserve">MixEggs</t>
  </si>
  <si>
    <t xml:space="preserve">Ovos Mexidos</t>
  </si>
  <si>
    <t xml:space="preserve">MushShi</t>
  </si>
  <si>
    <t xml:space="preserve">130g de shitake</t>
  </si>
  <si>
    <t xml:space="preserve">MushShiSalt</t>
  </si>
  <si>
    <t xml:space="preserve">100g Shitake Refogado Prep</t>
  </si>
  <si>
    <t xml:space="preserve">100g Shitake Refogado Prep.</t>
  </si>
  <si>
    <t xml:space="preserve">Shitake Salteado Ref.</t>
  </si>
  <si>
    <t xml:space="preserve">NBPI</t>
  </si>
  <si>
    <t xml:space="preserve">Nibs de Pistache</t>
  </si>
  <si>
    <t xml:space="preserve">Nata</t>
  </si>
  <si>
    <t xml:space="preserve">Creme de Matcha</t>
  </si>
  <si>
    <t xml:space="preserve">Moprango</t>
  </si>
  <si>
    <t xml:space="preserve">kg</t>
  </si>
  <si>
    <t xml:space="preserve">ECOP</t>
  </si>
  <si>
    <t xml:space="preserve">Black Totebag</t>
  </si>
  <si>
    <t xml:space="preserve">100g (2 un) Ovos</t>
  </si>
  <si>
    <t xml:space="preserve">100g (2un.) Ovos Mexidos.</t>
  </si>
  <si>
    <t xml:space="preserve">50g de ovos</t>
  </si>
  <si>
    <t xml:space="preserve">EMPV</t>
  </si>
  <si>
    <t xml:space="preserve">Vegan Pie </t>
  </si>
  <si>
    <t xml:space="preserve">EggWash</t>
  </si>
  <si>
    <t xml:space="preserve">Egg wash doce</t>
  </si>
  <si>
    <t xml:space="preserve">English Sauce</t>
  </si>
  <si>
    <t xml:space="preserve">Molho Inglês</t>
  </si>
  <si>
    <t xml:space="preserve">Expresso</t>
  </si>
  <si>
    <t xml:space="preserve">72g de café espresso</t>
  </si>
  <si>
    <t xml:space="preserve">FBosButt</t>
  </si>
  <si>
    <t xml:space="preserve">5g Farofa de Copa Prep.</t>
  </si>
  <si>
    <t xml:space="preserve">Farofa de Copa</t>
  </si>
  <si>
    <t xml:space="preserve">FDSS</t>
  </si>
  <si>
    <t xml:space="preserve">Flor de Sal</t>
  </si>
  <si>
    <t xml:space="preserve">FINANC</t>
  </si>
  <si>
    <t xml:space="preserve">Financier</t>
  </si>
  <si>
    <t xml:space="preserve">FRSL</t>
  </si>
  <si>
    <t xml:space="preserve">FRUTA4</t>
  </si>
  <si>
    <t xml:space="preserve">Maracujá </t>
  </si>
  <si>
    <t xml:space="preserve">FRUTA5</t>
  </si>
  <si>
    <t xml:space="preserve">Orange</t>
  </si>
  <si>
    <t xml:space="preserve">FermQui</t>
  </si>
  <si>
    <t xml:space="preserve">Fermento Químico</t>
  </si>
  <si>
    <t xml:space="preserve">Nut</t>
  </si>
  <si>
    <t xml:space="preserve">10g Nozes picadas.</t>
  </si>
  <si>
    <t xml:space="preserve">OREG7</t>
  </si>
  <si>
    <t xml:space="preserve">Orégano</t>
  </si>
  <si>
    <t xml:space="preserve">20g de azeite</t>
  </si>
  <si>
    <t xml:space="preserve">30g azeite</t>
  </si>
  <si>
    <t xml:space="preserve">30g de azeite</t>
  </si>
  <si>
    <t xml:space="preserve">Fio de azeite</t>
  </si>
  <si>
    <t xml:space="preserve">Olive Oil</t>
  </si>
  <si>
    <t xml:space="preserve">Onion</t>
  </si>
  <si>
    <t xml:space="preserve">Cebola</t>
  </si>
  <si>
    <t xml:space="preserve">PEanut</t>
  </si>
  <si>
    <t xml:space="preserve">Amendoim sem pele</t>
  </si>
  <si>
    <t xml:space="preserve">POLPAMRCJ</t>
  </si>
  <si>
    <t xml:space="preserve">Polpa Maracujá (Polpanorte) 100g</t>
  </si>
  <si>
    <t xml:space="preserve">POLPAVERDE</t>
  </si>
  <si>
    <t xml:space="preserve">Polpa Verde (Polpanorte) 100g</t>
  </si>
  <si>
    <t xml:space="preserve">30g Presunto cozido</t>
  </si>
  <si>
    <t xml:space="preserve">Panko</t>
  </si>
  <si>
    <t xml:space="preserve">Farinha Panko</t>
  </si>
  <si>
    <t xml:space="preserve">Pbrio2</t>
  </si>
  <si>
    <t xml:space="preserve">Pão Brioche Brunch - Fatia</t>
  </si>
  <si>
    <t xml:space="preserve">Pepino Jap</t>
  </si>
  <si>
    <t xml:space="preserve">Pepino Japonês</t>
  </si>
  <si>
    <t xml:space="preserve">PepitaGirassol</t>
  </si>
  <si>
    <t xml:space="preserve">Pepitas de girassol</t>
  </si>
  <si>
    <t xml:space="preserve">Pickles</t>
  </si>
  <si>
    <t xml:space="preserve">20g Picles de pepino</t>
  </si>
  <si>
    <t xml:space="preserve">Pimentão</t>
  </si>
  <si>
    <t xml:space="preserve">Pimentão Vermelho</t>
  </si>
  <si>
    <t xml:space="preserve">PrepCacauBlack</t>
  </si>
  <si>
    <t xml:space="preserve">Preparado Cacau Black</t>
  </si>
  <si>
    <t xml:space="preserve">PrepChia</t>
  </si>
  <si>
    <t xml:space="preserve">Preparado Pudim de Chia</t>
  </si>
  <si>
    <t xml:space="preserve">CJUI2</t>
  </si>
  <si>
    <t xml:space="preserve">Green Juice </t>
  </si>
  <si>
    <t xml:space="preserve">CJUI3</t>
  </si>
  <si>
    <t xml:space="preserve">COAV60</t>
  </si>
  <si>
    <t xml:space="preserve">V60 Dripper</t>
  </si>
  <si>
    <t xml:space="preserve">COLORG</t>
  </si>
  <si>
    <t xml:space="preserve">Color Orange Juice 250ml (3rd pt)</t>
  </si>
  <si>
    <t xml:space="preserve">COLYEL</t>
  </si>
  <si>
    <t xml:space="preserve">Color Yellow Juice 250ml (3rd pt)</t>
  </si>
  <si>
    <t xml:space="preserve">COOMAT</t>
  </si>
  <si>
    <t xml:space="preserve">Cookie Mactcha</t>
  </si>
  <si>
    <t xml:space="preserve">CPS</t>
  </si>
  <si>
    <t xml:space="preserve">Cookie Pumpkin Spices</t>
  </si>
  <si>
    <t xml:space="preserve">CRPI</t>
  </si>
  <si>
    <t xml:space="preserve">Creme de Pistache</t>
  </si>
  <si>
    <t xml:space="preserve">CacauPó</t>
  </si>
  <si>
    <t xml:space="preserve">cacau</t>
  </si>
  <si>
    <t xml:space="preserve">CastanhaCaju</t>
  </si>
  <si>
    <t xml:space="preserve">castanha de caju</t>
  </si>
  <si>
    <t xml:space="preserve">CastanhaPará</t>
  </si>
  <si>
    <t xml:space="preserve">castanha do pará</t>
  </si>
  <si>
    <t xml:space="preserve">CervejaP</t>
  </si>
  <si>
    <t xml:space="preserve">Cerveja Preta</t>
  </si>
  <si>
    <t xml:space="preserve">Chives</t>
  </si>
  <si>
    <t xml:space="preserve">1g Cebolinha</t>
  </si>
  <si>
    <t xml:space="preserve">1g Cebolinha Picada</t>
  </si>
  <si>
    <t xml:space="preserve">Chocdrop</t>
  </si>
  <si>
    <t xml:space="preserve">Gotas de chocolate</t>
  </si>
  <si>
    <t xml:space="preserve">CocaBlack</t>
  </si>
  <si>
    <t xml:space="preserve">Cocoa Black Powder 100%</t>
  </si>
  <si>
    <t xml:space="preserve">CocoFita</t>
  </si>
  <si>
    <t xml:space="preserve">Coco fita</t>
  </si>
  <si>
    <t xml:space="preserve">CocoOil</t>
  </si>
  <si>
    <t xml:space="preserve">óleo de coco</t>
  </si>
  <si>
    <t xml:space="preserve">CoffeeSyrup</t>
  </si>
  <si>
    <t xml:space="preserve">10g Calda de Café Prep.</t>
  </si>
  <si>
    <t xml:space="preserve">Cranberry</t>
  </si>
  <si>
    <t xml:space="preserve">cranberry</t>
  </si>
  <si>
    <t xml:space="preserve">PrepRagu</t>
  </si>
  <si>
    <t xml:space="preserve">Preparado de Ragú</t>
  </si>
  <si>
    <t xml:space="preserve">PrepRoastBeef</t>
  </si>
  <si>
    <t xml:space="preserve">Preparado de Roast Beef</t>
  </si>
  <si>
    <t xml:space="preserve">Preparado Panqueca </t>
  </si>
  <si>
    <t xml:space="preserve">Pres5</t>
  </si>
  <si>
    <t xml:space="preserve">120g Fatias de sourdough</t>
  </si>
  <si>
    <t xml:space="preserve">60 g Fatia de Sourdough</t>
  </si>
  <si>
    <t xml:space="preserve">60g Fatia de sourdough</t>
  </si>
  <si>
    <t xml:space="preserve">Pão de fermentação natural</t>
  </si>
  <si>
    <t xml:space="preserve">PãoFnat</t>
  </si>
  <si>
    <t xml:space="preserve">60g Fatia de Sourdough.</t>
  </si>
  <si>
    <t xml:space="preserve">RicottaChoco</t>
  </si>
  <si>
    <t xml:space="preserve">120g Creme de Ricota com Chocolate Prep.</t>
  </si>
  <si>
    <t xml:space="preserve">50g Cream cheese</t>
  </si>
  <si>
    <t xml:space="preserve">50g Creme de Ricota Doce Prep.</t>
  </si>
  <si>
    <t xml:space="preserve">Creme de Ricota doce</t>
  </si>
  <si>
    <t xml:space="preserve">2g Sal</t>
  </si>
  <si>
    <t xml:space="preserve">30g Bacon crispy</t>
  </si>
  <si>
    <t xml:space="preserve">Bacon</t>
  </si>
  <si>
    <t xml:space="preserve">Fatias de Bacon (150)</t>
  </si>
  <si>
    <t xml:space="preserve">Banana</t>
  </si>
  <si>
    <t xml:space="preserve">100g (1un.) Banana Caturra (Nanica)</t>
  </si>
  <si>
    <t xml:space="preserve">BlueTea</t>
  </si>
  <si>
    <t xml:space="preserve">Butterfly Tea (Flor de fada azul)</t>
  </si>
  <si>
    <t xml:space="preserve">BosButt</t>
  </si>
  <si>
    <t xml:space="preserve">100g de copa lombo defumada. (150)</t>
  </si>
  <si>
    <t xml:space="preserve">Boston Butt (Copa)</t>
  </si>
  <si>
    <t xml:space="preserve">Brie</t>
  </si>
  <si>
    <t xml:space="preserve">40g Queijo brie</t>
  </si>
  <si>
    <t xml:space="preserve">50g Queijo Brie</t>
  </si>
  <si>
    <t xml:space="preserve">CAKDAY</t>
  </si>
  <si>
    <t xml:space="preserve">Cake Day</t>
  </si>
  <si>
    <t xml:space="preserve">CCTHR</t>
  </si>
  <si>
    <t xml:space="preserve">Croissant Herb Ricotta</t>
  </si>
  <si>
    <t xml:space="preserve">CCTPC</t>
  </si>
  <si>
    <t xml:space="preserve">Croissant Parma &amp; Cheese</t>
  </si>
  <si>
    <t xml:space="preserve">CCarne</t>
  </si>
  <si>
    <t xml:space="preserve">Caldo de Carne</t>
  </si>
  <si>
    <t xml:space="preserve">CHFE</t>
  </si>
  <si>
    <t xml:space="preserve">Fellow Kettle</t>
  </si>
  <si>
    <t xml:space="preserve">CHLC08</t>
  </si>
  <si>
    <t xml:space="preserve">Chocolate 52% de Cacau Intenso ao Leite de Coco 8g</t>
  </si>
  <si>
    <t xml:space="preserve">CHLC40</t>
  </si>
  <si>
    <t xml:space="preserve">Chocolate 52% de Cacau Intenso ao Leite de Coco 40g</t>
  </si>
  <si>
    <t xml:space="preserve">CHONAT</t>
  </si>
  <si>
    <t xml:space="preserve">Biscoito de natal 2024 Chocolate</t>
  </si>
  <si>
    <t xml:space="preserve">CHSMOZ</t>
  </si>
  <si>
    <t xml:space="preserve">30g Queijo Mussarela</t>
  </si>
  <si>
    <t xml:space="preserve">Mozzarela Cheese</t>
  </si>
  <si>
    <t xml:space="preserve">CJUI1</t>
  </si>
  <si>
    <t xml:space="preserve">Orange Juice </t>
  </si>
  <si>
    <t xml:space="preserve">3g de sal</t>
  </si>
  <si>
    <t xml:space="preserve">5g de sal</t>
  </si>
  <si>
    <t xml:space="preserve">SSTD</t>
  </si>
  <si>
    <t xml:space="preserve">Syrup Salted</t>
  </si>
  <si>
    <t xml:space="preserve">SUCOLL</t>
  </si>
  <si>
    <t xml:space="preserve">Orange Juice 1L</t>
  </si>
  <si>
    <t xml:space="preserve">Salsinha</t>
  </si>
  <si>
    <t xml:space="preserve">Shoyu</t>
  </si>
  <si>
    <t xml:space="preserve">SiCiLE</t>
  </si>
  <si>
    <t xml:space="preserve">10g de suco de limão</t>
  </si>
  <si>
    <t xml:space="preserve">10g de sumo de limão</t>
  </si>
  <si>
    <t xml:space="preserve">1g Zests de Simão Siciliano</t>
  </si>
  <si>
    <t xml:space="preserve">Smosal</t>
  </si>
  <si>
    <t xml:space="preserve">30g Salmão Defumado</t>
  </si>
  <si>
    <t xml:space="preserve">SoySou</t>
  </si>
  <si>
    <t xml:space="preserve">20g de shoyu</t>
  </si>
  <si>
    <t xml:space="preserve">TOMATSECO</t>
  </si>
  <si>
    <t xml:space="preserve">Tomate Seco</t>
  </si>
  <si>
    <t xml:space="preserve">TPP</t>
  </si>
  <si>
    <t xml:space="preserve">Tag de Natal</t>
  </si>
  <si>
    <t xml:space="preserve">APPISY</t>
  </si>
  <si>
    <t xml:space="preserve">Apple Pie Syrup</t>
  </si>
  <si>
    <t xml:space="preserve">ANC</t>
  </si>
  <si>
    <t xml:space="preserve">Água na Caixa 500ml</t>
  </si>
  <si>
    <t xml:space="preserve">ACTCHL</t>
  </si>
  <si>
    <t xml:space="preserve">Activated Charcoal</t>
  </si>
  <si>
    <t xml:space="preserve">Tipo</t>
  </si>
  <si>
    <t xml:space="preserve">Onde</t>
  </si>
  <si>
    <t xml:space="preserve">O que foi encontrado</t>
  </si>
  <si>
    <t xml:space="preserve">Alcance</t>
  </si>
  <si>
    <t xml:space="preserve">Como o Store Ops resolve</t>
  </si>
  <si>
    <t xml:space="preserve">Custo unitario inconsistente</t>
  </si>
  <si>
    <t xml:space="preserve">Brie, mel e amendoas Toast 60g</t>
  </si>
  <si>
    <t xml:space="preserve">Fatia de sourdough: 60 g de um pacote de 1000 g a R$ 38,00 daria R$ 2,28, mas a planilha traz R$ 5,60</t>
  </si>
  <si>
    <t xml:space="preserve">1 ficha</t>
  </si>
  <si>
    <t xml:space="preserve">Coluna gerada: o banco calcula, nao aceita valor digitado</t>
  </si>
  <si>
    <t xml:space="preserve">Insumo com dois precos</t>
  </si>
  <si>
    <t xml:space="preserve">COFFEE — Coffee</t>
  </si>
  <si>
    <t xml:space="preserve">R$ 115,00/kg em 59 fichas e R$ 145,00/kg em 1</t>
  </si>
  <si>
    <t xml:space="preserve">60 fichas</t>
  </si>
  <si>
    <t xml:space="preserve">Preco unico na tabela precos_insumo</t>
  </si>
  <si>
    <t xml:space="preserve">MLKI — Milk</t>
  </si>
  <si>
    <t xml:space="preserve">R$ 5,50/L em 79 fichas e R$ 5,00/L em 1, mais 2 fichas com o nome escrito diferente</t>
  </si>
  <si>
    <t xml:space="preserve">82 fichas</t>
  </si>
  <si>
    <t xml:space="preserve">ICEAFF — Ice cream</t>
  </si>
  <si>
    <t xml:space="preserve">R$ 47,00/kg em 12 fichas e R$ 45,00/kg em 1</t>
  </si>
  <si>
    <t xml:space="preserve">13 fichas</t>
  </si>
  <si>
    <t xml:space="preserve">Codigo duplicado</t>
  </si>
  <si>
    <t xml:space="preserve">GELO e Gelo</t>
  </si>
  <si>
    <t xml:space="preserve">O mesmo insumo com dois codigos, e um deles com custo e embalagem zerados</t>
  </si>
  <si>
    <t xml:space="preserve">8 fichas</t>
  </si>
  <si>
    <t xml:space="preserve">Unificar no cadastro de insumos</t>
  </si>
  <si>
    <t xml:space="preserve">Unidade incompativel</t>
  </si>
  <si>
    <t xml:space="preserve">13 linhas da BoM</t>
  </si>
  <si>
    <t xml:space="preserve">Quantidade em g dividida por pacote em kg, ml ou un — a conta de custo fica dimensionalmente errada</t>
  </si>
  <si>
    <t xml:space="preserve">13 linhas</t>
  </si>
  <si>
    <t xml:space="preserve">Tabela de unidades com fator de conversao</t>
  </si>
  <si>
    <t xml:space="preserve">Sem fator de correcao</t>
  </si>
  <si>
    <t xml:space="preserve">Todas as 336 fichas</t>
  </si>
  <si>
    <t xml:space="preserve">A BoM traz so a quantidade teorica. Perda de moagem, purga, vaporizacao e sobra nao existem no modelo</t>
  </si>
  <si>
    <t xml:space="preserve">336 fichas</t>
  </si>
  <si>
    <t xml:space="preserve">Campo fator_correcao por item de ficha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</si>
</sst>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524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524E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6E4E0"/>
        <bgColor rgb="FFF5EBD8"/>
      </patternFill>
    </fill>
    <fill>
      <patternFill patternType="solid">
        <fgColor rgb="FFF5EBD8"/>
        <bgColor rgb="FFF6E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BD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4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52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8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 t="s">
        <v>24</v>
      </c>
      <c r="B17" s="4" t="s">
        <v>25</v>
      </c>
    </row>
    <row r="19" customFormat="false" ht="15" hidden="false" customHeight="false" outlineLevel="0" collapsed="false">
      <c r="A19" s="2" t="s">
        <v>26</v>
      </c>
    </row>
    <row r="20" customFormat="false" ht="15" hidden="false" customHeight="false" outlineLevel="0" collapsed="false">
      <c r="A20" s="5" t="s">
        <v>27</v>
      </c>
      <c r="B20" s="5" t="s">
        <v>28</v>
      </c>
      <c r="C20" s="5" t="s">
        <v>29</v>
      </c>
      <c r="D20" s="5" t="s">
        <v>6</v>
      </c>
      <c r="E20" s="5" t="s">
        <v>30</v>
      </c>
      <c r="F20" s="5" t="s">
        <v>31</v>
      </c>
      <c r="G20" s="5" t="s">
        <v>14</v>
      </c>
      <c r="H20" s="5" t="s">
        <v>32</v>
      </c>
    </row>
    <row r="21" customFormat="false" ht="15" hidden="false" customHeight="false" outlineLevel="0" collapsed="false">
      <c r="A21" s="3" t="s">
        <v>33</v>
      </c>
      <c r="B21" s="3" t="s">
        <v>34</v>
      </c>
      <c r="C21" s="3" t="n">
        <v>9</v>
      </c>
      <c r="D21" s="3" t="s">
        <v>10</v>
      </c>
      <c r="E21" s="3" t="s">
        <v>35</v>
      </c>
      <c r="F21" s="6" t="s">
        <v>35</v>
      </c>
      <c r="G21" s="6" t="s">
        <v>16</v>
      </c>
      <c r="H21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29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20"/>
    <col collapsed="false" customWidth="true" hidden="false" outlineLevel="0" max="13" min="12" style="0" width="14"/>
  </cols>
  <sheetData>
    <row r="1" customFormat="false" ht="15" hidden="false" customHeight="false" outlineLevel="0" collapsed="false">
      <c r="A1" s="7" t="s">
        <v>27</v>
      </c>
      <c r="B1" s="7" t="s">
        <v>28</v>
      </c>
      <c r="C1" s="7" t="s">
        <v>29</v>
      </c>
      <c r="D1" s="7" t="s">
        <v>37</v>
      </c>
      <c r="E1" s="7" t="s">
        <v>6</v>
      </c>
      <c r="F1" s="7" t="s">
        <v>30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31</v>
      </c>
      <c r="L1" s="7" t="s">
        <v>14</v>
      </c>
      <c r="M1" s="7" t="s">
        <v>32</v>
      </c>
    </row>
    <row r="2" customFormat="false" ht="15" hidden="false" customHeight="false" outlineLevel="0" collapsed="false">
      <c r="A2" s="8" t="s">
        <v>42</v>
      </c>
      <c r="B2" s="8" t="s">
        <v>43</v>
      </c>
      <c r="C2" s="8" t="n">
        <v>17</v>
      </c>
      <c r="D2" s="9" t="n">
        <v>311.3</v>
      </c>
      <c r="E2" s="8" t="s">
        <v>12</v>
      </c>
      <c r="F2" s="9"/>
      <c r="G2" s="9"/>
      <c r="H2" s="9"/>
      <c r="I2" s="9"/>
      <c r="J2" s="9"/>
      <c r="K2" s="10"/>
      <c r="L2" s="10"/>
      <c r="M2" s="10"/>
    </row>
    <row r="3" customFormat="false" ht="15" hidden="false" customHeight="false" outlineLevel="0" collapsed="false">
      <c r="A3" s="8" t="s">
        <v>44</v>
      </c>
      <c r="B3" s="8" t="s">
        <v>34</v>
      </c>
      <c r="C3" s="8" t="n">
        <v>15</v>
      </c>
      <c r="D3" s="9" t="n">
        <v>181.1</v>
      </c>
      <c r="E3" s="8" t="s">
        <v>12</v>
      </c>
      <c r="F3" s="9"/>
      <c r="G3" s="9"/>
      <c r="H3" s="9"/>
      <c r="I3" s="9"/>
      <c r="J3" s="9"/>
      <c r="K3" s="10"/>
      <c r="L3" s="10"/>
      <c r="M3" s="10"/>
    </row>
    <row r="4" customFormat="false" ht="15" hidden="false" customHeight="false" outlineLevel="0" collapsed="false">
      <c r="A4" s="11" t="s">
        <v>45</v>
      </c>
      <c r="B4" s="11" t="s">
        <v>46</v>
      </c>
      <c r="C4" s="11" t="n">
        <v>12</v>
      </c>
      <c r="D4" s="12" t="n">
        <v>250.4</v>
      </c>
      <c r="E4" s="11" t="s">
        <v>8</v>
      </c>
      <c r="F4" s="11" t="s">
        <v>47</v>
      </c>
      <c r="G4" s="11" t="s">
        <v>45</v>
      </c>
      <c r="H4" s="12" t="n">
        <v>1</v>
      </c>
      <c r="I4" s="12" t="n">
        <v>3</v>
      </c>
      <c r="J4" s="12" t="n">
        <v>4.5</v>
      </c>
      <c r="K4" s="10"/>
      <c r="L4" s="10"/>
      <c r="M4" s="10"/>
    </row>
    <row r="5" customFormat="false" ht="15" hidden="false" customHeight="false" outlineLevel="0" collapsed="false">
      <c r="A5" s="8" t="s">
        <v>48</v>
      </c>
      <c r="B5" s="8" t="s">
        <v>34</v>
      </c>
      <c r="C5" s="8" t="n">
        <v>11</v>
      </c>
      <c r="D5" s="9" t="n">
        <v>240.9</v>
      </c>
      <c r="E5" s="8" t="s">
        <v>12</v>
      </c>
      <c r="F5" s="9"/>
      <c r="G5" s="9"/>
      <c r="H5" s="9"/>
      <c r="I5" s="9"/>
      <c r="J5" s="9"/>
      <c r="K5" s="10"/>
      <c r="L5" s="10"/>
      <c r="M5" s="10"/>
    </row>
    <row r="6" customFormat="false" ht="15" hidden="false" customHeight="false" outlineLevel="0" collapsed="false">
      <c r="A6" s="11" t="s">
        <v>49</v>
      </c>
      <c r="B6" s="11" t="s">
        <v>50</v>
      </c>
      <c r="C6" s="11" t="n">
        <v>11</v>
      </c>
      <c r="D6" s="12" t="n">
        <v>211.3</v>
      </c>
      <c r="E6" s="11" t="s">
        <v>8</v>
      </c>
      <c r="F6" s="11" t="s">
        <v>51</v>
      </c>
      <c r="G6" s="11" t="s">
        <v>49</v>
      </c>
      <c r="H6" s="12" t="n">
        <v>1</v>
      </c>
      <c r="I6" s="12" t="n">
        <v>4</v>
      </c>
      <c r="J6" s="12" t="n">
        <v>3.872</v>
      </c>
      <c r="K6" s="10"/>
      <c r="L6" s="10"/>
      <c r="M6" s="10"/>
    </row>
    <row r="7" customFormat="false" ht="15" hidden="false" customHeight="false" outlineLevel="0" collapsed="false">
      <c r="A7" s="11" t="s">
        <v>52</v>
      </c>
      <c r="B7" s="11" t="s">
        <v>50</v>
      </c>
      <c r="C7" s="11" t="n">
        <v>10</v>
      </c>
      <c r="D7" s="12" t="n">
        <v>155</v>
      </c>
      <c r="E7" s="11" t="s">
        <v>8</v>
      </c>
      <c r="F7" s="11" t="s">
        <v>53</v>
      </c>
      <c r="G7" s="11" t="s">
        <v>52</v>
      </c>
      <c r="H7" s="12" t="n">
        <v>1</v>
      </c>
      <c r="I7" s="12" t="n">
        <v>3</v>
      </c>
      <c r="J7" s="12" t="n">
        <v>2.937</v>
      </c>
      <c r="K7" s="10"/>
      <c r="L7" s="10"/>
      <c r="M7" s="10"/>
    </row>
    <row r="8" customFormat="false" ht="15" hidden="false" customHeight="false" outlineLevel="0" collapsed="false">
      <c r="A8" s="8" t="s">
        <v>54</v>
      </c>
      <c r="B8" s="8" t="s">
        <v>55</v>
      </c>
      <c r="C8" s="8" t="n">
        <v>10</v>
      </c>
      <c r="D8" s="9" t="n">
        <v>89</v>
      </c>
      <c r="E8" s="8" t="s">
        <v>12</v>
      </c>
      <c r="F8" s="9"/>
      <c r="G8" s="9"/>
      <c r="H8" s="9"/>
      <c r="I8" s="9"/>
      <c r="J8" s="9"/>
      <c r="K8" s="10"/>
      <c r="L8" s="10"/>
      <c r="M8" s="10"/>
    </row>
    <row r="9" customFormat="false" ht="15" hidden="false" customHeight="false" outlineLevel="0" collapsed="false">
      <c r="A9" s="11" t="s">
        <v>56</v>
      </c>
      <c r="B9" s="11" t="s">
        <v>57</v>
      </c>
      <c r="C9" s="11" t="n">
        <v>9</v>
      </c>
      <c r="D9" s="12" t="n">
        <v>228.9</v>
      </c>
      <c r="E9" s="11" t="s">
        <v>8</v>
      </c>
      <c r="F9" s="11" t="s">
        <v>58</v>
      </c>
      <c r="G9" s="11" t="s">
        <v>56</v>
      </c>
      <c r="H9" s="12" t="n">
        <v>1</v>
      </c>
      <c r="I9" s="12" t="n">
        <v>8</v>
      </c>
      <c r="J9" s="12" t="n">
        <v>4.7107</v>
      </c>
      <c r="K9" s="10"/>
      <c r="L9" s="10"/>
      <c r="M9" s="10"/>
    </row>
    <row r="10" customFormat="false" ht="15" hidden="false" customHeight="false" outlineLevel="0" collapsed="false">
      <c r="A10" s="13" t="s">
        <v>33</v>
      </c>
      <c r="B10" s="13" t="s">
        <v>34</v>
      </c>
      <c r="C10" s="13" t="n">
        <v>9</v>
      </c>
      <c r="D10" s="14" t="n">
        <v>148.5</v>
      </c>
      <c r="E10" s="13" t="s">
        <v>10</v>
      </c>
      <c r="F10" s="13" t="s">
        <v>59</v>
      </c>
      <c r="G10" s="13" t="s">
        <v>60</v>
      </c>
      <c r="H10" s="14" t="n">
        <v>0.73</v>
      </c>
      <c r="I10" s="14" t="n">
        <v>3</v>
      </c>
      <c r="J10" s="14" t="n">
        <v>5.0269</v>
      </c>
      <c r="K10" s="10"/>
      <c r="L10" s="10"/>
      <c r="M10" s="10"/>
    </row>
    <row r="11" customFormat="false" ht="15" hidden="false" customHeight="false" outlineLevel="0" collapsed="false">
      <c r="A11" s="11" t="s">
        <v>61</v>
      </c>
      <c r="B11" s="11" t="s">
        <v>50</v>
      </c>
      <c r="C11" s="11" t="n">
        <v>9</v>
      </c>
      <c r="D11" s="12" t="n">
        <v>130.5</v>
      </c>
      <c r="E11" s="11" t="s">
        <v>8</v>
      </c>
      <c r="F11" s="11" t="s">
        <v>62</v>
      </c>
      <c r="G11" s="11" t="s">
        <v>61</v>
      </c>
      <c r="H11" s="12" t="n">
        <v>1</v>
      </c>
      <c r="I11" s="12" t="n">
        <v>2</v>
      </c>
      <c r="J11" s="12" t="n">
        <v>2.346</v>
      </c>
      <c r="K11" s="10"/>
      <c r="L11" s="10"/>
      <c r="M11" s="10"/>
    </row>
    <row r="12" customFormat="false" ht="15" hidden="false" customHeight="false" outlineLevel="0" collapsed="false">
      <c r="A12" s="8" t="s">
        <v>63</v>
      </c>
      <c r="B12" s="8" t="s">
        <v>55</v>
      </c>
      <c r="C12" s="8" t="n">
        <v>8</v>
      </c>
      <c r="D12" s="9" t="n">
        <v>71.2</v>
      </c>
      <c r="E12" s="8" t="s">
        <v>12</v>
      </c>
      <c r="F12" s="9"/>
      <c r="G12" s="9"/>
      <c r="H12" s="9"/>
      <c r="I12" s="9"/>
      <c r="J12" s="9"/>
      <c r="K12" s="10"/>
      <c r="L12" s="10"/>
      <c r="M12" s="10"/>
    </row>
    <row r="13" customFormat="false" ht="15" hidden="false" customHeight="false" outlineLevel="0" collapsed="false">
      <c r="A13" s="11" t="s">
        <v>64</v>
      </c>
      <c r="B13" s="11" t="s">
        <v>46</v>
      </c>
      <c r="C13" s="11" t="n">
        <v>7</v>
      </c>
      <c r="D13" s="12" t="n">
        <v>293.3</v>
      </c>
      <c r="E13" s="11" t="s">
        <v>8</v>
      </c>
      <c r="F13" s="11" t="s">
        <v>65</v>
      </c>
      <c r="G13" s="11" t="s">
        <v>64</v>
      </c>
      <c r="H13" s="12" t="n">
        <v>1</v>
      </c>
      <c r="I13" s="12" t="n">
        <v>7</v>
      </c>
      <c r="J13" s="12" t="n">
        <v>11.5953</v>
      </c>
      <c r="K13" s="10"/>
      <c r="L13" s="10"/>
      <c r="M13" s="10"/>
    </row>
    <row r="14" customFormat="false" ht="15" hidden="false" customHeight="false" outlineLevel="0" collapsed="false">
      <c r="A14" s="11" t="s">
        <v>66</v>
      </c>
      <c r="B14" s="11" t="s">
        <v>57</v>
      </c>
      <c r="C14" s="11" t="n">
        <v>7</v>
      </c>
      <c r="D14" s="12" t="n">
        <v>163</v>
      </c>
      <c r="E14" s="11" t="s">
        <v>8</v>
      </c>
      <c r="F14" s="11" t="s">
        <v>67</v>
      </c>
      <c r="G14" s="11" t="s">
        <v>66</v>
      </c>
      <c r="H14" s="12" t="n">
        <v>1</v>
      </c>
      <c r="I14" s="12" t="n">
        <v>7</v>
      </c>
      <c r="J14" s="12" t="n">
        <v>4.9657</v>
      </c>
      <c r="K14" s="10"/>
      <c r="L14" s="10"/>
      <c r="M14" s="10"/>
    </row>
    <row r="15" customFormat="false" ht="15" hidden="false" customHeight="false" outlineLevel="0" collapsed="false">
      <c r="A15" s="8" t="s">
        <v>68</v>
      </c>
      <c r="B15" s="8" t="s">
        <v>57</v>
      </c>
      <c r="C15" s="8" t="n">
        <v>7</v>
      </c>
      <c r="D15" s="9" t="n">
        <v>139</v>
      </c>
      <c r="E15" s="8" t="s">
        <v>12</v>
      </c>
      <c r="F15" s="9"/>
      <c r="G15" s="9"/>
      <c r="H15" s="9"/>
      <c r="I15" s="9"/>
      <c r="J15" s="9"/>
      <c r="K15" s="10"/>
      <c r="L15" s="10"/>
      <c r="M15" s="10"/>
    </row>
    <row r="16" customFormat="false" ht="15" hidden="false" customHeight="false" outlineLevel="0" collapsed="false">
      <c r="A16" s="13" t="s">
        <v>69</v>
      </c>
      <c r="B16" s="13" t="s">
        <v>34</v>
      </c>
      <c r="C16" s="13" t="n">
        <v>7</v>
      </c>
      <c r="D16" s="14" t="n">
        <v>118.3</v>
      </c>
      <c r="E16" s="13" t="s">
        <v>10</v>
      </c>
      <c r="F16" s="13" t="s">
        <v>70</v>
      </c>
      <c r="G16" s="13" t="s">
        <v>71</v>
      </c>
      <c r="H16" s="14" t="n">
        <v>0.95</v>
      </c>
      <c r="I16" s="14" t="n">
        <v>2</v>
      </c>
      <c r="J16" s="14" t="n">
        <v>0.3</v>
      </c>
      <c r="K16" s="10"/>
      <c r="L16" s="10"/>
      <c r="M16" s="10"/>
    </row>
    <row r="17" customFormat="false" ht="15" hidden="false" customHeight="false" outlineLevel="0" collapsed="false">
      <c r="A17" s="11" t="s">
        <v>72</v>
      </c>
      <c r="B17" s="11" t="s">
        <v>57</v>
      </c>
      <c r="C17" s="11" t="n">
        <v>7</v>
      </c>
      <c r="D17" s="12" t="n">
        <v>149</v>
      </c>
      <c r="E17" s="11" t="s">
        <v>8</v>
      </c>
      <c r="F17" s="11" t="s">
        <v>73</v>
      </c>
      <c r="G17" s="11" t="s">
        <v>72</v>
      </c>
      <c r="H17" s="12" t="n">
        <v>1</v>
      </c>
      <c r="I17" s="12" t="n">
        <v>7</v>
      </c>
      <c r="J17" s="12" t="n">
        <v>4.1984</v>
      </c>
      <c r="K17" s="10"/>
      <c r="L17" s="10"/>
      <c r="M17" s="10"/>
    </row>
    <row r="18" customFormat="false" ht="15" hidden="false" customHeight="false" outlineLevel="0" collapsed="false">
      <c r="A18" s="8" t="s">
        <v>74</v>
      </c>
      <c r="B18" s="8" t="s">
        <v>34</v>
      </c>
      <c r="C18" s="8" t="n">
        <v>6</v>
      </c>
      <c r="D18" s="9" t="n">
        <v>129</v>
      </c>
      <c r="E18" s="8" t="s">
        <v>12</v>
      </c>
      <c r="F18" s="9"/>
      <c r="G18" s="9"/>
      <c r="H18" s="9"/>
      <c r="I18" s="9"/>
      <c r="J18" s="9"/>
      <c r="K18" s="10"/>
      <c r="L18" s="10"/>
      <c r="M18" s="10"/>
    </row>
    <row r="19" customFormat="false" ht="15" hidden="false" customHeight="false" outlineLevel="0" collapsed="false">
      <c r="A19" s="8" t="s">
        <v>75</v>
      </c>
      <c r="B19" s="8" t="s">
        <v>57</v>
      </c>
      <c r="C19" s="8" t="n">
        <v>6</v>
      </c>
      <c r="D19" s="9" t="n">
        <v>119.4</v>
      </c>
      <c r="E19" s="8" t="s">
        <v>12</v>
      </c>
      <c r="F19" s="9"/>
      <c r="G19" s="9"/>
      <c r="H19" s="9"/>
      <c r="I19" s="9"/>
      <c r="J19" s="9"/>
      <c r="K19" s="10"/>
      <c r="L19" s="10"/>
      <c r="M19" s="10"/>
    </row>
    <row r="20" customFormat="false" ht="15" hidden="false" customHeight="false" outlineLevel="0" collapsed="false">
      <c r="A20" s="11" t="s">
        <v>76</v>
      </c>
      <c r="B20" s="11" t="s">
        <v>46</v>
      </c>
      <c r="C20" s="11" t="n">
        <v>6</v>
      </c>
      <c r="D20" s="12" t="n">
        <v>215.4</v>
      </c>
      <c r="E20" s="11" t="s">
        <v>8</v>
      </c>
      <c r="F20" s="11" t="s">
        <v>77</v>
      </c>
      <c r="G20" s="11" t="s">
        <v>76</v>
      </c>
      <c r="H20" s="12" t="n">
        <v>1</v>
      </c>
      <c r="I20" s="12" t="n">
        <v>7</v>
      </c>
      <c r="J20" s="12" t="n">
        <v>7.1255</v>
      </c>
      <c r="K20" s="10"/>
      <c r="L20" s="10"/>
      <c r="M20" s="10"/>
    </row>
    <row r="21" customFormat="false" ht="15" hidden="false" customHeight="false" outlineLevel="0" collapsed="false">
      <c r="A21" s="8" t="s">
        <v>78</v>
      </c>
      <c r="B21" s="8" t="s">
        <v>79</v>
      </c>
      <c r="C21" s="8" t="n">
        <v>6</v>
      </c>
      <c r="D21" s="9" t="n">
        <v>162.9</v>
      </c>
      <c r="E21" s="8" t="s">
        <v>12</v>
      </c>
      <c r="F21" s="9"/>
      <c r="G21" s="9"/>
      <c r="H21" s="9"/>
      <c r="I21" s="9"/>
      <c r="J21" s="9"/>
      <c r="K21" s="10"/>
      <c r="L21" s="10"/>
      <c r="M21" s="10"/>
    </row>
    <row r="22" customFormat="false" ht="15" hidden="false" customHeight="false" outlineLevel="0" collapsed="false">
      <c r="A22" s="11" t="s">
        <v>80</v>
      </c>
      <c r="B22" s="11" t="s">
        <v>34</v>
      </c>
      <c r="C22" s="11" t="n">
        <v>6</v>
      </c>
      <c r="D22" s="12" t="n">
        <v>91.8</v>
      </c>
      <c r="E22" s="11" t="s">
        <v>8</v>
      </c>
      <c r="F22" s="11" t="s">
        <v>81</v>
      </c>
      <c r="G22" s="11" t="s">
        <v>80</v>
      </c>
      <c r="H22" s="12" t="n">
        <v>1</v>
      </c>
      <c r="I22" s="12" t="n">
        <v>4</v>
      </c>
      <c r="J22" s="12" t="n">
        <v>3.2274</v>
      </c>
      <c r="K22" s="10"/>
      <c r="L22" s="10"/>
      <c r="M22" s="10"/>
    </row>
    <row r="23" customFormat="false" ht="15" hidden="false" customHeight="false" outlineLevel="0" collapsed="false">
      <c r="A23" s="8" t="s">
        <v>82</v>
      </c>
      <c r="B23" s="8" t="s">
        <v>34</v>
      </c>
      <c r="C23" s="8" t="n">
        <v>6</v>
      </c>
      <c r="D23" s="9" t="n">
        <v>135.5</v>
      </c>
      <c r="E23" s="8" t="s">
        <v>12</v>
      </c>
      <c r="F23" s="9"/>
      <c r="G23" s="9"/>
      <c r="H23" s="9"/>
      <c r="I23" s="9"/>
      <c r="J23" s="9"/>
      <c r="K23" s="10"/>
      <c r="L23" s="10"/>
      <c r="M23" s="10"/>
    </row>
    <row r="24" customFormat="false" ht="15" hidden="false" customHeight="false" outlineLevel="0" collapsed="false">
      <c r="A24" s="8" t="s">
        <v>83</v>
      </c>
      <c r="B24" s="8" t="s">
        <v>34</v>
      </c>
      <c r="C24" s="8" t="n">
        <v>6</v>
      </c>
      <c r="D24" s="9" t="n">
        <v>150.5</v>
      </c>
      <c r="E24" s="8" t="s">
        <v>12</v>
      </c>
      <c r="F24" s="9"/>
      <c r="G24" s="9"/>
      <c r="H24" s="9"/>
      <c r="I24" s="9"/>
      <c r="J24" s="9"/>
      <c r="K24" s="10"/>
      <c r="L24" s="10"/>
      <c r="M24" s="10"/>
    </row>
    <row r="25" customFormat="false" ht="15" hidden="false" customHeight="false" outlineLevel="0" collapsed="false">
      <c r="A25" s="11" t="s">
        <v>84</v>
      </c>
      <c r="B25" s="11" t="s">
        <v>46</v>
      </c>
      <c r="C25" s="11" t="n">
        <v>5</v>
      </c>
      <c r="D25" s="12" t="n">
        <v>174.5</v>
      </c>
      <c r="E25" s="11" t="s">
        <v>8</v>
      </c>
      <c r="F25" s="11" t="s">
        <v>85</v>
      </c>
      <c r="G25" s="11" t="s">
        <v>84</v>
      </c>
      <c r="H25" s="12" t="n">
        <v>1</v>
      </c>
      <c r="I25" s="12" t="n">
        <v>13</v>
      </c>
      <c r="J25" s="12" t="n">
        <v>11.7179</v>
      </c>
      <c r="K25" s="10"/>
      <c r="L25" s="10"/>
      <c r="M25" s="10"/>
    </row>
    <row r="26" customFormat="false" ht="15" hidden="false" customHeight="false" outlineLevel="0" collapsed="false">
      <c r="A26" s="13" t="s">
        <v>86</v>
      </c>
      <c r="B26" s="13" t="s">
        <v>57</v>
      </c>
      <c r="C26" s="13" t="n">
        <v>5</v>
      </c>
      <c r="D26" s="14" t="n">
        <v>107.5</v>
      </c>
      <c r="E26" s="13" t="s">
        <v>10</v>
      </c>
      <c r="F26" s="13" t="s">
        <v>87</v>
      </c>
      <c r="G26" s="13" t="s">
        <v>88</v>
      </c>
      <c r="H26" s="14" t="n">
        <v>0.96</v>
      </c>
      <c r="I26" s="14" t="n">
        <v>6</v>
      </c>
      <c r="J26" s="14" t="n">
        <v>3.7359</v>
      </c>
      <c r="K26" s="10"/>
      <c r="L26" s="10"/>
      <c r="M26" s="10"/>
    </row>
    <row r="27" customFormat="false" ht="15" hidden="false" customHeight="false" outlineLevel="0" collapsed="false">
      <c r="A27" s="8" t="s">
        <v>89</v>
      </c>
      <c r="B27" s="8" t="s">
        <v>46</v>
      </c>
      <c r="C27" s="8" t="n">
        <v>5</v>
      </c>
      <c r="D27" s="9" t="n">
        <v>117.5</v>
      </c>
      <c r="E27" s="8" t="s">
        <v>12</v>
      </c>
      <c r="F27" s="9"/>
      <c r="G27" s="9"/>
      <c r="H27" s="9"/>
      <c r="I27" s="9"/>
      <c r="J27" s="9"/>
      <c r="K27" s="10"/>
      <c r="L27" s="10"/>
      <c r="M27" s="10"/>
    </row>
    <row r="28" customFormat="false" ht="15" hidden="false" customHeight="false" outlineLevel="0" collapsed="false">
      <c r="A28" s="8" t="s">
        <v>90</v>
      </c>
      <c r="B28" s="8" t="s">
        <v>34</v>
      </c>
      <c r="C28" s="8" t="n">
        <v>5</v>
      </c>
      <c r="D28" s="9" t="n">
        <v>67.5</v>
      </c>
      <c r="E28" s="8" t="s">
        <v>12</v>
      </c>
      <c r="F28" s="9"/>
      <c r="G28" s="9"/>
      <c r="H28" s="9"/>
      <c r="I28" s="9"/>
      <c r="J28" s="9"/>
      <c r="K28" s="10"/>
      <c r="L28" s="10"/>
      <c r="M28" s="10"/>
    </row>
    <row r="29" customFormat="false" ht="15" hidden="false" customHeight="false" outlineLevel="0" collapsed="false">
      <c r="A29" s="11" t="s">
        <v>91</v>
      </c>
      <c r="B29" s="11" t="s">
        <v>57</v>
      </c>
      <c r="C29" s="11" t="n">
        <v>4</v>
      </c>
      <c r="D29" s="12" t="n">
        <v>94</v>
      </c>
      <c r="E29" s="11" t="s">
        <v>8</v>
      </c>
      <c r="F29" s="11" t="s">
        <v>92</v>
      </c>
      <c r="G29" s="11" t="s">
        <v>91</v>
      </c>
      <c r="H29" s="12" t="n">
        <v>1</v>
      </c>
      <c r="I29" s="12" t="n">
        <v>7</v>
      </c>
      <c r="J29" s="12" t="n">
        <v>3.0396</v>
      </c>
      <c r="K29" s="10"/>
      <c r="L29" s="10"/>
      <c r="M29" s="10"/>
    </row>
    <row r="30" customFormat="false" ht="15" hidden="false" customHeight="false" outlineLevel="0" collapsed="false">
      <c r="A30" s="11" t="s">
        <v>93</v>
      </c>
      <c r="B30" s="11" t="s">
        <v>34</v>
      </c>
      <c r="C30" s="11" t="n">
        <v>4</v>
      </c>
      <c r="D30" s="12" t="n">
        <v>58</v>
      </c>
      <c r="E30" s="11" t="s">
        <v>8</v>
      </c>
      <c r="F30" s="11" t="s">
        <v>94</v>
      </c>
      <c r="G30" s="11" t="s">
        <v>93</v>
      </c>
      <c r="H30" s="12" t="n">
        <v>1</v>
      </c>
      <c r="I30" s="12" t="n">
        <v>4</v>
      </c>
      <c r="J30" s="12" t="n">
        <v>4.1293</v>
      </c>
      <c r="K30" s="10"/>
      <c r="L30" s="10"/>
      <c r="M30" s="10"/>
    </row>
    <row r="31" customFormat="false" ht="15" hidden="false" customHeight="false" outlineLevel="0" collapsed="false">
      <c r="A31" s="13" t="s">
        <v>95</v>
      </c>
      <c r="B31" s="13" t="s">
        <v>46</v>
      </c>
      <c r="C31" s="13" t="n">
        <v>4</v>
      </c>
      <c r="D31" s="14" t="n">
        <v>111.6</v>
      </c>
      <c r="E31" s="13" t="s">
        <v>10</v>
      </c>
      <c r="F31" s="13" t="s">
        <v>96</v>
      </c>
      <c r="G31" s="13" t="s">
        <v>97</v>
      </c>
      <c r="H31" s="14" t="n">
        <v>0.86</v>
      </c>
      <c r="I31" s="14" t="n">
        <v>7</v>
      </c>
      <c r="J31" s="14" t="n">
        <v>5.734</v>
      </c>
      <c r="K31" s="10"/>
      <c r="L31" s="10"/>
      <c r="M31" s="10"/>
    </row>
    <row r="32" customFormat="false" ht="15" hidden="false" customHeight="false" outlineLevel="0" collapsed="false">
      <c r="A32" s="8" t="s">
        <v>98</v>
      </c>
      <c r="B32" s="8" t="s">
        <v>46</v>
      </c>
      <c r="C32" s="8" t="n">
        <v>4</v>
      </c>
      <c r="D32" s="9" t="n">
        <v>143.6</v>
      </c>
      <c r="E32" s="8" t="s">
        <v>12</v>
      </c>
      <c r="F32" s="9"/>
      <c r="G32" s="9"/>
      <c r="H32" s="9"/>
      <c r="I32" s="9"/>
      <c r="J32" s="9"/>
      <c r="K32" s="10"/>
      <c r="L32" s="10"/>
      <c r="M32" s="10"/>
    </row>
    <row r="33" customFormat="false" ht="15" hidden="false" customHeight="false" outlineLevel="0" collapsed="false">
      <c r="A33" s="11" t="s">
        <v>99</v>
      </c>
      <c r="B33" s="11" t="s">
        <v>57</v>
      </c>
      <c r="C33" s="11" t="n">
        <v>4</v>
      </c>
      <c r="D33" s="12" t="n">
        <v>101.9</v>
      </c>
      <c r="E33" s="11" t="s">
        <v>8</v>
      </c>
      <c r="F33" s="11" t="s">
        <v>100</v>
      </c>
      <c r="G33" s="11" t="s">
        <v>99</v>
      </c>
      <c r="H33" s="12" t="n">
        <v>1</v>
      </c>
      <c r="I33" s="12" t="n">
        <v>7</v>
      </c>
      <c r="J33" s="12" t="n">
        <v>4.6665</v>
      </c>
      <c r="K33" s="10"/>
      <c r="L33" s="10"/>
      <c r="M33" s="10"/>
    </row>
    <row r="34" customFormat="false" ht="15" hidden="false" customHeight="false" outlineLevel="0" collapsed="false">
      <c r="A34" s="11" t="s">
        <v>101</v>
      </c>
      <c r="B34" s="11" t="s">
        <v>57</v>
      </c>
      <c r="C34" s="11" t="n">
        <v>4</v>
      </c>
      <c r="D34" s="12" t="n">
        <v>96.6</v>
      </c>
      <c r="E34" s="11" t="s">
        <v>8</v>
      </c>
      <c r="F34" s="11" t="s">
        <v>102</v>
      </c>
      <c r="G34" s="11" t="s">
        <v>101</v>
      </c>
      <c r="H34" s="12" t="n">
        <v>1</v>
      </c>
      <c r="I34" s="12" t="n">
        <v>5</v>
      </c>
      <c r="J34" s="12" t="n">
        <v>4.462</v>
      </c>
      <c r="K34" s="10"/>
      <c r="L34" s="10"/>
      <c r="M34" s="10"/>
    </row>
    <row r="35" customFormat="false" ht="15" hidden="false" customHeight="false" outlineLevel="0" collapsed="false">
      <c r="A35" s="11" t="s">
        <v>103</v>
      </c>
      <c r="B35" s="11" t="s">
        <v>50</v>
      </c>
      <c r="C35" s="11" t="n">
        <v>4</v>
      </c>
      <c r="D35" s="12" t="n">
        <v>91</v>
      </c>
      <c r="E35" s="11" t="s">
        <v>8</v>
      </c>
      <c r="F35" s="11" t="s">
        <v>104</v>
      </c>
      <c r="G35" s="11" t="s">
        <v>105</v>
      </c>
      <c r="H35" s="12" t="n">
        <v>1</v>
      </c>
      <c r="I35" s="12" t="n">
        <v>5</v>
      </c>
      <c r="J35" s="12" t="n">
        <v>2.975</v>
      </c>
      <c r="K35" s="10"/>
      <c r="L35" s="10"/>
      <c r="M35" s="10"/>
    </row>
    <row r="36" customFormat="false" ht="15" hidden="false" customHeight="false" outlineLevel="0" collapsed="false">
      <c r="A36" s="8" t="s">
        <v>106</v>
      </c>
      <c r="B36" s="8" t="s">
        <v>34</v>
      </c>
      <c r="C36" s="8" t="n">
        <v>4</v>
      </c>
      <c r="D36" s="9" t="n">
        <v>59.6</v>
      </c>
      <c r="E36" s="8" t="s">
        <v>12</v>
      </c>
      <c r="F36" s="9"/>
      <c r="G36" s="9"/>
      <c r="H36" s="9"/>
      <c r="I36" s="9"/>
      <c r="J36" s="9"/>
      <c r="K36" s="10"/>
      <c r="L36" s="10"/>
      <c r="M36" s="10"/>
    </row>
    <row r="37" customFormat="false" ht="15" hidden="false" customHeight="false" outlineLevel="0" collapsed="false">
      <c r="A37" s="8" t="s">
        <v>107</v>
      </c>
      <c r="B37" s="8" t="s">
        <v>46</v>
      </c>
      <c r="C37" s="8" t="n">
        <v>4</v>
      </c>
      <c r="D37" s="9" t="n">
        <v>134.6</v>
      </c>
      <c r="E37" s="8" t="s">
        <v>12</v>
      </c>
      <c r="F37" s="9"/>
      <c r="G37" s="9"/>
      <c r="H37" s="9"/>
      <c r="I37" s="9"/>
      <c r="J37" s="9"/>
      <c r="K37" s="10"/>
      <c r="L37" s="10"/>
      <c r="M37" s="10"/>
    </row>
    <row r="38" customFormat="false" ht="15" hidden="false" customHeight="false" outlineLevel="0" collapsed="false">
      <c r="A38" s="8" t="s">
        <v>108</v>
      </c>
      <c r="B38" s="8" t="s">
        <v>46</v>
      </c>
      <c r="C38" s="8" t="n">
        <v>3</v>
      </c>
      <c r="D38" s="9" t="n">
        <v>224.7</v>
      </c>
      <c r="E38" s="8" t="s">
        <v>12</v>
      </c>
      <c r="F38" s="9"/>
      <c r="G38" s="9"/>
      <c r="H38" s="9"/>
      <c r="I38" s="9"/>
      <c r="J38" s="9"/>
      <c r="K38" s="10"/>
      <c r="L38" s="10"/>
      <c r="M38" s="10"/>
    </row>
    <row r="39" customFormat="false" ht="15" hidden="false" customHeight="false" outlineLevel="0" collapsed="false">
      <c r="A39" s="11" t="s">
        <v>109</v>
      </c>
      <c r="B39" s="11" t="s">
        <v>57</v>
      </c>
      <c r="C39" s="11" t="n">
        <v>3</v>
      </c>
      <c r="D39" s="12" t="n">
        <v>74.9</v>
      </c>
      <c r="E39" s="11" t="s">
        <v>8</v>
      </c>
      <c r="F39" s="11" t="s">
        <v>110</v>
      </c>
      <c r="G39" s="11" t="s">
        <v>109</v>
      </c>
      <c r="H39" s="12" t="n">
        <v>1</v>
      </c>
      <c r="I39" s="12" t="n">
        <v>5</v>
      </c>
      <c r="J39" s="12" t="n">
        <v>4.902</v>
      </c>
      <c r="K39" s="10"/>
      <c r="L39" s="10"/>
      <c r="M39" s="10"/>
    </row>
    <row r="40" customFormat="false" ht="15" hidden="false" customHeight="false" outlineLevel="0" collapsed="false">
      <c r="A40" s="11" t="s">
        <v>111</v>
      </c>
      <c r="B40" s="11" t="s">
        <v>112</v>
      </c>
      <c r="C40" s="11" t="n">
        <v>3</v>
      </c>
      <c r="D40" s="12" t="n">
        <v>76.5</v>
      </c>
      <c r="E40" s="11" t="s">
        <v>8</v>
      </c>
      <c r="F40" s="11" t="s">
        <v>113</v>
      </c>
      <c r="G40" s="11" t="s">
        <v>114</v>
      </c>
      <c r="H40" s="12" t="n">
        <v>1</v>
      </c>
      <c r="I40" s="12" t="n">
        <v>6</v>
      </c>
      <c r="J40" s="12" t="n">
        <v>10.5717</v>
      </c>
      <c r="K40" s="10"/>
      <c r="L40" s="10"/>
      <c r="M40" s="10"/>
    </row>
    <row r="41" customFormat="false" ht="15" hidden="false" customHeight="false" outlineLevel="0" collapsed="false">
      <c r="A41" s="11" t="s">
        <v>115</v>
      </c>
      <c r="B41" s="11" t="s">
        <v>34</v>
      </c>
      <c r="C41" s="11" t="n">
        <v>3</v>
      </c>
      <c r="D41" s="12" t="n">
        <v>76.5</v>
      </c>
      <c r="E41" s="11" t="s">
        <v>8</v>
      </c>
      <c r="F41" s="11" t="s">
        <v>116</v>
      </c>
      <c r="G41" s="11" t="s">
        <v>115</v>
      </c>
      <c r="H41" s="12" t="n">
        <v>1</v>
      </c>
      <c r="I41" s="12" t="n">
        <v>4</v>
      </c>
      <c r="J41" s="12" t="n">
        <v>10.9241</v>
      </c>
      <c r="K41" s="10"/>
      <c r="L41" s="10"/>
      <c r="M41" s="10"/>
    </row>
    <row r="42" customFormat="false" ht="15" hidden="false" customHeight="false" outlineLevel="0" collapsed="false">
      <c r="A42" s="13" t="s">
        <v>117</v>
      </c>
      <c r="B42" s="13" t="s">
        <v>57</v>
      </c>
      <c r="C42" s="13" t="n">
        <v>3</v>
      </c>
      <c r="D42" s="14" t="n">
        <v>69</v>
      </c>
      <c r="E42" s="13" t="s">
        <v>10</v>
      </c>
      <c r="F42" s="13" t="s">
        <v>118</v>
      </c>
      <c r="G42" s="13" t="s">
        <v>119</v>
      </c>
      <c r="H42" s="14" t="n">
        <v>0.77</v>
      </c>
      <c r="I42" s="14" t="n">
        <v>6</v>
      </c>
      <c r="J42" s="14" t="n">
        <v>3.8213</v>
      </c>
      <c r="K42" s="10"/>
      <c r="L42" s="10"/>
      <c r="M42" s="10"/>
    </row>
    <row r="43" customFormat="false" ht="15" hidden="false" customHeight="false" outlineLevel="0" collapsed="false">
      <c r="A43" s="11" t="s">
        <v>120</v>
      </c>
      <c r="B43" s="11" t="s">
        <v>57</v>
      </c>
      <c r="C43" s="11" t="n">
        <v>3</v>
      </c>
      <c r="D43" s="12" t="n">
        <v>77.9</v>
      </c>
      <c r="E43" s="11" t="s">
        <v>8</v>
      </c>
      <c r="F43" s="11" t="s">
        <v>121</v>
      </c>
      <c r="G43" s="11" t="s">
        <v>120</v>
      </c>
      <c r="H43" s="12" t="n">
        <v>1</v>
      </c>
      <c r="I43" s="12" t="n">
        <v>8</v>
      </c>
      <c r="J43" s="12" t="n">
        <v>5.4017</v>
      </c>
      <c r="K43" s="10"/>
      <c r="L43" s="10"/>
      <c r="M43" s="10"/>
    </row>
    <row r="44" customFormat="false" ht="15" hidden="false" customHeight="false" outlineLevel="0" collapsed="false">
      <c r="A44" s="13" t="s">
        <v>122</v>
      </c>
      <c r="B44" s="13" t="s">
        <v>46</v>
      </c>
      <c r="C44" s="13" t="n">
        <v>3</v>
      </c>
      <c r="D44" s="14" t="n">
        <v>107.3</v>
      </c>
      <c r="E44" s="13" t="s">
        <v>10</v>
      </c>
      <c r="F44" s="13" t="s">
        <v>123</v>
      </c>
      <c r="G44" s="13" t="s">
        <v>124</v>
      </c>
      <c r="H44" s="14" t="n">
        <v>0.98</v>
      </c>
      <c r="I44" s="14" t="n">
        <v>5</v>
      </c>
      <c r="J44" s="14" t="n">
        <v>10.97</v>
      </c>
      <c r="K44" s="10"/>
      <c r="L44" s="10"/>
      <c r="M44" s="10"/>
    </row>
    <row r="45" customFormat="false" ht="15" hidden="false" customHeight="false" outlineLevel="0" collapsed="false">
      <c r="A45" s="8" t="s">
        <v>125</v>
      </c>
      <c r="B45" s="8" t="s">
        <v>46</v>
      </c>
      <c r="C45" s="8" t="n">
        <v>3</v>
      </c>
      <c r="D45" s="9" t="n">
        <v>98.7</v>
      </c>
      <c r="E45" s="8" t="s">
        <v>12</v>
      </c>
      <c r="F45" s="9"/>
      <c r="G45" s="9"/>
      <c r="H45" s="9"/>
      <c r="I45" s="9"/>
      <c r="J45" s="9"/>
      <c r="K45" s="10"/>
      <c r="L45" s="10"/>
      <c r="M45" s="10"/>
    </row>
    <row r="46" customFormat="false" ht="15" hidden="false" customHeight="false" outlineLevel="0" collapsed="false">
      <c r="A46" s="11" t="s">
        <v>126</v>
      </c>
      <c r="B46" s="11" t="s">
        <v>34</v>
      </c>
      <c r="C46" s="11" t="n">
        <v>3</v>
      </c>
      <c r="D46" s="12" t="n">
        <v>41.7</v>
      </c>
      <c r="E46" s="11" t="s">
        <v>8</v>
      </c>
      <c r="F46" s="11" t="s">
        <v>127</v>
      </c>
      <c r="G46" s="11" t="s">
        <v>126</v>
      </c>
      <c r="H46" s="12" t="n">
        <v>1</v>
      </c>
      <c r="I46" s="12" t="n">
        <v>4</v>
      </c>
      <c r="J46" s="12" t="n">
        <v>3.2274</v>
      </c>
      <c r="K46" s="10"/>
      <c r="L46" s="10"/>
      <c r="M46" s="10"/>
    </row>
    <row r="47" customFormat="false" ht="15" hidden="false" customHeight="false" outlineLevel="0" collapsed="false">
      <c r="A47" s="11" t="s">
        <v>128</v>
      </c>
      <c r="B47" s="11" t="s">
        <v>50</v>
      </c>
      <c r="C47" s="11" t="n">
        <v>3</v>
      </c>
      <c r="D47" s="12" t="n">
        <v>46.5</v>
      </c>
      <c r="E47" s="11" t="s">
        <v>8</v>
      </c>
      <c r="F47" s="11" t="s">
        <v>129</v>
      </c>
      <c r="G47" s="11" t="s">
        <v>128</v>
      </c>
      <c r="H47" s="12" t="n">
        <v>1</v>
      </c>
      <c r="I47" s="12" t="n">
        <v>3</v>
      </c>
      <c r="J47" s="12" t="n">
        <v>3.281</v>
      </c>
      <c r="K47" s="10"/>
      <c r="L47" s="10"/>
      <c r="M47" s="10"/>
    </row>
    <row r="48" customFormat="false" ht="15" hidden="false" customHeight="false" outlineLevel="0" collapsed="false">
      <c r="A48" s="11" t="s">
        <v>130</v>
      </c>
      <c r="B48" s="11" t="s">
        <v>112</v>
      </c>
      <c r="C48" s="11" t="n">
        <v>3</v>
      </c>
      <c r="D48" s="12" t="n">
        <v>71.7</v>
      </c>
      <c r="E48" s="11" t="s">
        <v>8</v>
      </c>
      <c r="F48" s="11" t="s">
        <v>131</v>
      </c>
      <c r="G48" s="11" t="s">
        <v>132</v>
      </c>
      <c r="H48" s="12" t="n">
        <v>1</v>
      </c>
      <c r="I48" s="12" t="n">
        <v>7</v>
      </c>
      <c r="J48" s="12" t="n">
        <v>9.3295</v>
      </c>
      <c r="K48" s="10"/>
      <c r="L48" s="10"/>
      <c r="M48" s="10"/>
    </row>
    <row r="49" customFormat="false" ht="15" hidden="false" customHeight="false" outlineLevel="0" collapsed="false">
      <c r="A49" s="11" t="s">
        <v>133</v>
      </c>
      <c r="B49" s="11" t="s">
        <v>34</v>
      </c>
      <c r="C49" s="11" t="n">
        <v>3</v>
      </c>
      <c r="D49" s="12" t="n">
        <v>50.9</v>
      </c>
      <c r="E49" s="11" t="s">
        <v>8</v>
      </c>
      <c r="F49" s="11" t="s">
        <v>134</v>
      </c>
      <c r="G49" s="11" t="s">
        <v>135</v>
      </c>
      <c r="H49" s="12" t="n">
        <v>1</v>
      </c>
      <c r="I49" s="12" t="n">
        <v>4</v>
      </c>
      <c r="J49" s="12" t="n">
        <v>4.2604</v>
      </c>
      <c r="K49" s="10"/>
      <c r="L49" s="10"/>
      <c r="M49" s="10"/>
    </row>
    <row r="50" customFormat="false" ht="15" hidden="false" customHeight="false" outlineLevel="0" collapsed="false">
      <c r="A50" s="8" t="s">
        <v>136</v>
      </c>
      <c r="B50" s="8" t="s">
        <v>46</v>
      </c>
      <c r="C50" s="8" t="n">
        <v>2</v>
      </c>
      <c r="D50" s="9" t="n">
        <v>69.8</v>
      </c>
      <c r="E50" s="8" t="s">
        <v>12</v>
      </c>
      <c r="F50" s="9"/>
      <c r="G50" s="9"/>
      <c r="H50" s="9"/>
      <c r="I50" s="9"/>
      <c r="J50" s="9"/>
      <c r="K50" s="10"/>
      <c r="L50" s="10"/>
      <c r="M50" s="10"/>
    </row>
    <row r="51" customFormat="false" ht="15" hidden="false" customHeight="false" outlineLevel="0" collapsed="false">
      <c r="A51" s="8" t="s">
        <v>137</v>
      </c>
      <c r="B51" s="8" t="s">
        <v>46</v>
      </c>
      <c r="C51" s="8" t="n">
        <v>2</v>
      </c>
      <c r="D51" s="9" t="n">
        <v>117.8</v>
      </c>
      <c r="E51" s="8" t="s">
        <v>12</v>
      </c>
      <c r="F51" s="9"/>
      <c r="G51" s="9"/>
      <c r="H51" s="9"/>
      <c r="I51" s="9"/>
      <c r="J51" s="9"/>
      <c r="K51" s="10"/>
      <c r="L51" s="10"/>
      <c r="M51" s="10"/>
    </row>
    <row r="52" customFormat="false" ht="15" hidden="false" customHeight="false" outlineLevel="0" collapsed="false">
      <c r="A52" s="8" t="s">
        <v>138</v>
      </c>
      <c r="B52" s="8" t="s">
        <v>34</v>
      </c>
      <c r="C52" s="8" t="n">
        <v>2</v>
      </c>
      <c r="D52" s="9" t="n">
        <v>61</v>
      </c>
      <c r="E52" s="8" t="s">
        <v>12</v>
      </c>
      <c r="F52" s="9"/>
      <c r="G52" s="9"/>
      <c r="H52" s="9"/>
      <c r="I52" s="9"/>
      <c r="J52" s="9"/>
      <c r="K52" s="10"/>
      <c r="L52" s="10"/>
      <c r="M52" s="10"/>
    </row>
    <row r="53" customFormat="false" ht="15" hidden="false" customHeight="false" outlineLevel="0" collapsed="false">
      <c r="A53" s="8" t="s">
        <v>139</v>
      </c>
      <c r="B53" s="8" t="s">
        <v>34</v>
      </c>
      <c r="C53" s="8" t="n">
        <v>2</v>
      </c>
      <c r="D53" s="9" t="n">
        <v>55.8</v>
      </c>
      <c r="E53" s="8" t="s">
        <v>12</v>
      </c>
      <c r="F53" s="9"/>
      <c r="G53" s="9"/>
      <c r="H53" s="9"/>
      <c r="I53" s="9"/>
      <c r="J53" s="9"/>
      <c r="K53" s="10"/>
      <c r="L53" s="10"/>
      <c r="M53" s="10"/>
    </row>
    <row r="54" customFormat="false" ht="15" hidden="false" customHeight="false" outlineLevel="0" collapsed="false">
      <c r="A54" s="13" t="s">
        <v>140</v>
      </c>
      <c r="B54" s="13" t="s">
        <v>112</v>
      </c>
      <c r="C54" s="13" t="n">
        <v>2</v>
      </c>
      <c r="D54" s="14" t="n">
        <v>53</v>
      </c>
      <c r="E54" s="13" t="s">
        <v>10</v>
      </c>
      <c r="F54" s="13" t="s">
        <v>141</v>
      </c>
      <c r="G54" s="13" t="s">
        <v>142</v>
      </c>
      <c r="H54" s="14" t="n">
        <v>0.95</v>
      </c>
      <c r="I54" s="14" t="n">
        <v>7</v>
      </c>
      <c r="J54" s="14" t="n">
        <v>10.9477</v>
      </c>
      <c r="K54" s="10"/>
      <c r="L54" s="10"/>
      <c r="M54" s="10"/>
    </row>
    <row r="55" customFormat="false" ht="15" hidden="false" customHeight="false" outlineLevel="0" collapsed="false">
      <c r="A55" s="11" t="s">
        <v>143</v>
      </c>
      <c r="B55" s="11" t="s">
        <v>50</v>
      </c>
      <c r="C55" s="11" t="n">
        <v>2</v>
      </c>
      <c r="D55" s="12" t="n">
        <v>55.7</v>
      </c>
      <c r="E55" s="11" t="s">
        <v>8</v>
      </c>
      <c r="F55" s="11" t="s">
        <v>144</v>
      </c>
      <c r="G55" s="11" t="s">
        <v>143</v>
      </c>
      <c r="H55" s="12" t="n">
        <v>1</v>
      </c>
      <c r="I55" s="12" t="n">
        <v>6</v>
      </c>
      <c r="J55" s="12" t="n">
        <v>2.6008</v>
      </c>
      <c r="K55" s="10"/>
      <c r="L55" s="10"/>
      <c r="M55" s="10"/>
    </row>
    <row r="56" customFormat="false" ht="15" hidden="false" customHeight="false" outlineLevel="0" collapsed="false">
      <c r="A56" s="11" t="s">
        <v>145</v>
      </c>
      <c r="B56" s="11" t="s">
        <v>57</v>
      </c>
      <c r="C56" s="11" t="n">
        <v>2</v>
      </c>
      <c r="D56" s="12" t="n">
        <v>47.5</v>
      </c>
      <c r="E56" s="11" t="s">
        <v>8</v>
      </c>
      <c r="F56" s="11" t="s">
        <v>146</v>
      </c>
      <c r="G56" s="11" t="s">
        <v>145</v>
      </c>
      <c r="H56" s="12" t="n">
        <v>1</v>
      </c>
      <c r="I56" s="12" t="n">
        <v>6</v>
      </c>
      <c r="J56" s="12" t="n">
        <v>3.392</v>
      </c>
      <c r="K56" s="10"/>
      <c r="L56" s="10"/>
      <c r="M56" s="10"/>
    </row>
    <row r="57" customFormat="false" ht="15" hidden="false" customHeight="false" outlineLevel="0" collapsed="false">
      <c r="A57" s="11" t="s">
        <v>147</v>
      </c>
      <c r="B57" s="11" t="s">
        <v>57</v>
      </c>
      <c r="C57" s="11" t="n">
        <v>2</v>
      </c>
      <c r="D57" s="12" t="n">
        <v>48.7</v>
      </c>
      <c r="E57" s="11" t="s">
        <v>8</v>
      </c>
      <c r="F57" s="11" t="s">
        <v>148</v>
      </c>
      <c r="G57" s="11" t="s">
        <v>147</v>
      </c>
      <c r="H57" s="12" t="n">
        <v>1</v>
      </c>
      <c r="I57" s="12" t="n">
        <v>6</v>
      </c>
      <c r="J57" s="12" t="n">
        <v>3.0877</v>
      </c>
      <c r="K57" s="10"/>
      <c r="L57" s="10"/>
      <c r="M57" s="10"/>
    </row>
    <row r="58" customFormat="false" ht="15" hidden="false" customHeight="false" outlineLevel="0" collapsed="false">
      <c r="A58" s="8" t="s">
        <v>149</v>
      </c>
      <c r="B58" s="8" t="s">
        <v>50</v>
      </c>
      <c r="C58" s="8" t="n">
        <v>2</v>
      </c>
      <c r="D58" s="9" t="n">
        <v>45.8</v>
      </c>
      <c r="E58" s="8" t="s">
        <v>12</v>
      </c>
      <c r="F58" s="9"/>
      <c r="G58" s="9"/>
      <c r="H58" s="9"/>
      <c r="I58" s="9"/>
      <c r="J58" s="9"/>
      <c r="K58" s="10"/>
      <c r="L58" s="10"/>
      <c r="M58" s="10"/>
    </row>
    <row r="59" customFormat="false" ht="15" hidden="false" customHeight="false" outlineLevel="0" collapsed="false">
      <c r="A59" s="11" t="s">
        <v>150</v>
      </c>
      <c r="B59" s="11" t="s">
        <v>34</v>
      </c>
      <c r="C59" s="11" t="n">
        <v>2</v>
      </c>
      <c r="D59" s="12" t="n">
        <v>43</v>
      </c>
      <c r="E59" s="11" t="s">
        <v>8</v>
      </c>
      <c r="F59" s="11" t="s">
        <v>151</v>
      </c>
      <c r="G59" s="11" t="s">
        <v>150</v>
      </c>
      <c r="H59" s="12" t="n">
        <v>1</v>
      </c>
      <c r="I59" s="12" t="n">
        <v>4</v>
      </c>
      <c r="J59" s="12" t="n">
        <v>5.0422</v>
      </c>
      <c r="K59" s="10"/>
      <c r="L59" s="10"/>
      <c r="M59" s="10"/>
    </row>
    <row r="60" customFormat="false" ht="15" hidden="false" customHeight="false" outlineLevel="0" collapsed="false">
      <c r="A60" s="13" t="s">
        <v>152</v>
      </c>
      <c r="B60" s="13" t="s">
        <v>57</v>
      </c>
      <c r="C60" s="13" t="n">
        <v>2</v>
      </c>
      <c r="D60" s="14" t="n">
        <v>42.3</v>
      </c>
      <c r="E60" s="13" t="s">
        <v>10</v>
      </c>
      <c r="F60" s="13" t="s">
        <v>153</v>
      </c>
      <c r="G60" s="13" t="s">
        <v>154</v>
      </c>
      <c r="H60" s="14" t="n">
        <v>0.97</v>
      </c>
      <c r="I60" s="14" t="n">
        <v>6</v>
      </c>
      <c r="J60" s="14" t="n">
        <v>2.7431</v>
      </c>
      <c r="K60" s="10"/>
      <c r="L60" s="10"/>
      <c r="M60" s="10"/>
    </row>
    <row r="61" customFormat="false" ht="15" hidden="false" customHeight="false" outlineLevel="0" collapsed="false">
      <c r="A61" s="11" t="s">
        <v>155</v>
      </c>
      <c r="B61" s="11" t="s">
        <v>57</v>
      </c>
      <c r="C61" s="11" t="n">
        <v>2</v>
      </c>
      <c r="D61" s="12" t="n">
        <v>39</v>
      </c>
      <c r="E61" s="11" t="s">
        <v>8</v>
      </c>
      <c r="F61" s="11" t="s">
        <v>156</v>
      </c>
      <c r="G61" s="11" t="s">
        <v>155</v>
      </c>
      <c r="H61" s="12" t="n">
        <v>1</v>
      </c>
      <c r="I61" s="12" t="n">
        <v>5</v>
      </c>
      <c r="J61" s="12" t="n">
        <v>4.462</v>
      </c>
      <c r="K61" s="10"/>
      <c r="L61" s="10"/>
      <c r="M61" s="10"/>
    </row>
    <row r="62" customFormat="false" ht="15" hidden="false" customHeight="false" outlineLevel="0" collapsed="false">
      <c r="A62" s="13" t="s">
        <v>157</v>
      </c>
      <c r="B62" s="13" t="s">
        <v>46</v>
      </c>
      <c r="C62" s="13" t="n">
        <v>2</v>
      </c>
      <c r="D62" s="14" t="n">
        <v>36.4</v>
      </c>
      <c r="E62" s="13" t="s">
        <v>10</v>
      </c>
      <c r="F62" s="13" t="s">
        <v>158</v>
      </c>
      <c r="G62" s="13" t="s">
        <v>159</v>
      </c>
      <c r="H62" s="14" t="n">
        <v>0.75</v>
      </c>
      <c r="I62" s="14" t="n">
        <v>5</v>
      </c>
      <c r="J62" s="14" t="n">
        <v>3.722</v>
      </c>
      <c r="K62" s="10"/>
      <c r="L62" s="10"/>
      <c r="M62" s="10"/>
    </row>
    <row r="63" customFormat="false" ht="15" hidden="false" customHeight="false" outlineLevel="0" collapsed="false">
      <c r="A63" s="11" t="s">
        <v>160</v>
      </c>
      <c r="B63" s="11" t="s">
        <v>34</v>
      </c>
      <c r="C63" s="11" t="n">
        <v>2</v>
      </c>
      <c r="D63" s="12" t="n">
        <v>31</v>
      </c>
      <c r="E63" s="11" t="s">
        <v>8</v>
      </c>
      <c r="F63" s="11" t="s">
        <v>161</v>
      </c>
      <c r="G63" s="11" t="s">
        <v>160</v>
      </c>
      <c r="H63" s="12" t="n">
        <v>1</v>
      </c>
      <c r="I63" s="12" t="n">
        <v>4</v>
      </c>
      <c r="J63" s="12" t="n">
        <v>4.2604</v>
      </c>
      <c r="K63" s="10"/>
      <c r="L63" s="10"/>
      <c r="M63" s="10"/>
    </row>
    <row r="64" customFormat="false" ht="15" hidden="false" customHeight="false" outlineLevel="0" collapsed="false">
      <c r="A64" s="11" t="s">
        <v>162</v>
      </c>
      <c r="B64" s="11" t="s">
        <v>34</v>
      </c>
      <c r="C64" s="11" t="n">
        <v>2</v>
      </c>
      <c r="D64" s="12" t="n">
        <v>19.8</v>
      </c>
      <c r="E64" s="11" t="s">
        <v>8</v>
      </c>
      <c r="F64" s="11" t="s">
        <v>163</v>
      </c>
      <c r="G64" s="11" t="s">
        <v>162</v>
      </c>
      <c r="H64" s="12" t="n">
        <v>1</v>
      </c>
      <c r="I64" s="12" t="n">
        <v>4</v>
      </c>
      <c r="J64" s="12" t="n">
        <v>2.328</v>
      </c>
      <c r="K64" s="10"/>
      <c r="L64" s="10"/>
      <c r="M64" s="10"/>
    </row>
    <row r="65" customFormat="false" ht="15" hidden="false" customHeight="false" outlineLevel="0" collapsed="false">
      <c r="A65" s="8" t="s">
        <v>164</v>
      </c>
      <c r="B65" s="8" t="s">
        <v>46</v>
      </c>
      <c r="C65" s="8" t="n">
        <v>1</v>
      </c>
      <c r="D65" s="9" t="n">
        <v>35.9</v>
      </c>
      <c r="E65" s="8" t="s">
        <v>12</v>
      </c>
      <c r="F65" s="9"/>
      <c r="G65" s="9"/>
      <c r="H65" s="9"/>
      <c r="I65" s="9"/>
      <c r="J65" s="9"/>
      <c r="K65" s="10"/>
      <c r="L65" s="10"/>
      <c r="M65" s="10"/>
    </row>
    <row r="66" customFormat="false" ht="15" hidden="false" customHeight="false" outlineLevel="0" collapsed="false">
      <c r="A66" s="11" t="s">
        <v>165</v>
      </c>
      <c r="B66" s="11" t="s">
        <v>50</v>
      </c>
      <c r="C66" s="11" t="n">
        <v>1</v>
      </c>
      <c r="D66" s="12" t="n">
        <v>29.8</v>
      </c>
      <c r="E66" s="11" t="s">
        <v>8</v>
      </c>
      <c r="F66" s="11" t="s">
        <v>166</v>
      </c>
      <c r="G66" s="11" t="s">
        <v>165</v>
      </c>
      <c r="H66" s="12" t="n">
        <v>1</v>
      </c>
      <c r="I66" s="12" t="n">
        <v>5</v>
      </c>
      <c r="J66" s="12" t="n">
        <v>3.9067</v>
      </c>
      <c r="K66" s="10"/>
      <c r="L66" s="10"/>
      <c r="M66" s="10"/>
    </row>
    <row r="67" customFormat="false" ht="15" hidden="false" customHeight="false" outlineLevel="0" collapsed="false">
      <c r="A67" s="11" t="s">
        <v>167</v>
      </c>
      <c r="B67" s="11" t="s">
        <v>112</v>
      </c>
      <c r="C67" s="11" t="n">
        <v>1</v>
      </c>
      <c r="D67" s="12" t="n">
        <v>27.5</v>
      </c>
      <c r="E67" s="11" t="s">
        <v>8</v>
      </c>
      <c r="F67" s="11" t="s">
        <v>168</v>
      </c>
      <c r="G67" s="11" t="s">
        <v>169</v>
      </c>
      <c r="H67" s="12" t="n">
        <v>1</v>
      </c>
      <c r="I67" s="12" t="n">
        <v>7</v>
      </c>
      <c r="J67" s="12" t="n">
        <v>9.6733</v>
      </c>
      <c r="K67" s="10"/>
      <c r="L67" s="10"/>
      <c r="M67" s="10"/>
    </row>
    <row r="68" customFormat="false" ht="15" hidden="false" customHeight="false" outlineLevel="0" collapsed="false">
      <c r="A68" s="13" t="s">
        <v>170</v>
      </c>
      <c r="B68" s="13" t="s">
        <v>34</v>
      </c>
      <c r="C68" s="13" t="n">
        <v>1</v>
      </c>
      <c r="D68" s="14" t="n">
        <v>26.9</v>
      </c>
      <c r="E68" s="13" t="s">
        <v>10</v>
      </c>
      <c r="F68" s="13" t="s">
        <v>123</v>
      </c>
      <c r="G68" s="13" t="s">
        <v>124</v>
      </c>
      <c r="H68" s="14" t="n">
        <v>0.77</v>
      </c>
      <c r="I68" s="14" t="n">
        <v>5</v>
      </c>
      <c r="J68" s="14" t="n">
        <v>10.97</v>
      </c>
      <c r="K68" s="10"/>
      <c r="L68" s="10"/>
      <c r="M68" s="10"/>
    </row>
    <row r="69" customFormat="false" ht="15" hidden="false" customHeight="false" outlineLevel="0" collapsed="false">
      <c r="A69" s="8" t="s">
        <v>171</v>
      </c>
      <c r="B69" s="8" t="s">
        <v>34</v>
      </c>
      <c r="C69" s="8" t="n">
        <v>1</v>
      </c>
      <c r="D69" s="9" t="n">
        <v>31.9</v>
      </c>
      <c r="E69" s="8" t="s">
        <v>12</v>
      </c>
      <c r="F69" s="9"/>
      <c r="G69" s="9"/>
      <c r="H69" s="9"/>
      <c r="I69" s="9"/>
      <c r="J69" s="9"/>
      <c r="K69" s="10"/>
      <c r="L69" s="10"/>
      <c r="M69" s="10"/>
    </row>
    <row r="70" customFormat="false" ht="15" hidden="false" customHeight="false" outlineLevel="0" collapsed="false">
      <c r="A70" s="11" t="s">
        <v>172</v>
      </c>
      <c r="B70" s="11" t="s">
        <v>50</v>
      </c>
      <c r="C70" s="11" t="n">
        <v>1</v>
      </c>
      <c r="D70" s="12" t="n">
        <v>25.4</v>
      </c>
      <c r="E70" s="11" t="s">
        <v>8</v>
      </c>
      <c r="F70" s="11" t="s">
        <v>173</v>
      </c>
      <c r="G70" s="11" t="s">
        <v>172</v>
      </c>
      <c r="H70" s="12" t="n">
        <v>1</v>
      </c>
      <c r="I70" s="12" t="n">
        <v>5</v>
      </c>
      <c r="J70" s="12" t="n">
        <v>2.4561</v>
      </c>
      <c r="K70" s="10"/>
      <c r="L70" s="10"/>
      <c r="M70" s="10"/>
    </row>
    <row r="71" customFormat="false" ht="15" hidden="false" customHeight="false" outlineLevel="0" collapsed="false">
      <c r="A71" s="13" t="s">
        <v>174</v>
      </c>
      <c r="B71" s="13" t="s">
        <v>34</v>
      </c>
      <c r="C71" s="13" t="n">
        <v>1</v>
      </c>
      <c r="D71" s="14" t="n">
        <v>24.5</v>
      </c>
      <c r="E71" s="13" t="s">
        <v>10</v>
      </c>
      <c r="F71" s="13" t="s">
        <v>175</v>
      </c>
      <c r="G71" s="13" t="s">
        <v>176</v>
      </c>
      <c r="H71" s="14" t="n">
        <v>0.96</v>
      </c>
      <c r="I71" s="14" t="n">
        <v>1</v>
      </c>
      <c r="J71" s="14" t="n">
        <v>6</v>
      </c>
      <c r="K71" s="10"/>
      <c r="L71" s="10"/>
      <c r="M71" s="10"/>
    </row>
    <row r="72" customFormat="false" ht="15" hidden="false" customHeight="false" outlineLevel="0" collapsed="false">
      <c r="A72" s="8" t="s">
        <v>177</v>
      </c>
      <c r="B72" s="8" t="s">
        <v>178</v>
      </c>
      <c r="C72" s="8" t="n">
        <v>1</v>
      </c>
      <c r="D72" s="9" t="n">
        <v>20.5</v>
      </c>
      <c r="E72" s="8" t="s">
        <v>12</v>
      </c>
      <c r="F72" s="9"/>
      <c r="G72" s="9"/>
      <c r="H72" s="9"/>
      <c r="I72" s="9"/>
      <c r="J72" s="9"/>
      <c r="K72" s="10"/>
      <c r="L72" s="10"/>
      <c r="M72" s="10"/>
    </row>
    <row r="73" customFormat="false" ht="15" hidden="false" customHeight="false" outlineLevel="0" collapsed="false">
      <c r="A73" s="8" t="s">
        <v>179</v>
      </c>
      <c r="B73" s="8" t="s">
        <v>50</v>
      </c>
      <c r="C73" s="8" t="n">
        <v>1</v>
      </c>
      <c r="D73" s="9" t="n">
        <v>20.9</v>
      </c>
      <c r="E73" s="8" t="s">
        <v>12</v>
      </c>
      <c r="F73" s="9"/>
      <c r="G73" s="9"/>
      <c r="H73" s="9"/>
      <c r="I73" s="9"/>
      <c r="J73" s="9"/>
      <c r="K73" s="10"/>
      <c r="L73" s="10"/>
      <c r="M73" s="10"/>
    </row>
    <row r="74" customFormat="false" ht="15" hidden="false" customHeight="false" outlineLevel="0" collapsed="false">
      <c r="A74" s="11" t="s">
        <v>180</v>
      </c>
      <c r="B74" s="11" t="s">
        <v>178</v>
      </c>
      <c r="C74" s="11" t="n">
        <v>1</v>
      </c>
      <c r="D74" s="12" t="n">
        <v>20.5</v>
      </c>
      <c r="E74" s="11" t="s">
        <v>8</v>
      </c>
      <c r="F74" s="11" t="s">
        <v>181</v>
      </c>
      <c r="G74" s="11" t="s">
        <v>182</v>
      </c>
      <c r="H74" s="12" t="n">
        <v>1</v>
      </c>
      <c r="I74" s="12" t="n">
        <v>7</v>
      </c>
      <c r="J74" s="12" t="n">
        <v>7.7667</v>
      </c>
      <c r="K74" s="10"/>
      <c r="L74" s="10"/>
      <c r="M74" s="10"/>
    </row>
    <row r="75" customFormat="false" ht="15" hidden="false" customHeight="false" outlineLevel="0" collapsed="false">
      <c r="A75" s="11" t="s">
        <v>183</v>
      </c>
      <c r="B75" s="11" t="s">
        <v>55</v>
      </c>
      <c r="C75" s="11" t="n">
        <v>1</v>
      </c>
      <c r="D75" s="12" t="n">
        <v>19.9</v>
      </c>
      <c r="E75" s="11" t="s">
        <v>8</v>
      </c>
      <c r="F75" s="11" t="s">
        <v>184</v>
      </c>
      <c r="G75" s="11" t="s">
        <v>185</v>
      </c>
      <c r="H75" s="12" t="n">
        <v>1</v>
      </c>
      <c r="I75" s="12" t="n">
        <v>1</v>
      </c>
      <c r="J75" s="12" t="n">
        <v>5.5</v>
      </c>
      <c r="K75" s="10"/>
      <c r="L75" s="10"/>
      <c r="M75" s="10"/>
    </row>
    <row r="76" customFormat="false" ht="15" hidden="false" customHeight="false" outlineLevel="0" collapsed="false">
      <c r="A76" s="8" t="s">
        <v>186</v>
      </c>
      <c r="B76" s="8" t="s">
        <v>50</v>
      </c>
      <c r="C76" s="8" t="n">
        <v>1</v>
      </c>
      <c r="D76" s="9" t="n">
        <v>18.9</v>
      </c>
      <c r="E76" s="8" t="s">
        <v>12</v>
      </c>
      <c r="F76" s="9"/>
      <c r="G76" s="9"/>
      <c r="H76" s="9"/>
      <c r="I76" s="9"/>
      <c r="J76" s="9"/>
      <c r="K76" s="10"/>
      <c r="L76" s="10"/>
      <c r="M76" s="10"/>
    </row>
    <row r="77" customFormat="false" ht="15" hidden="false" customHeight="false" outlineLevel="0" collapsed="false">
      <c r="A77" s="8" t="s">
        <v>187</v>
      </c>
      <c r="B77" s="8" t="s">
        <v>46</v>
      </c>
      <c r="C77" s="8" t="n">
        <v>1</v>
      </c>
      <c r="D77" s="9" t="n">
        <v>17.9</v>
      </c>
      <c r="E77" s="8" t="s">
        <v>12</v>
      </c>
      <c r="F77" s="9"/>
      <c r="G77" s="9"/>
      <c r="H77" s="9"/>
      <c r="I77" s="9"/>
      <c r="J77" s="9"/>
      <c r="K77" s="10"/>
      <c r="L77" s="10"/>
      <c r="M77" s="10"/>
    </row>
    <row r="79" customFormat="false" ht="15" hidden="false" customHeight="false" outlineLevel="0" collapsed="false">
      <c r="A79" s="2" t="s">
        <v>188</v>
      </c>
      <c r="C79" s="2" t="n">
        <f aca="false">SUM(C2:C77)</f>
        <v>333</v>
      </c>
      <c r="D79" s="2" t="n">
        <f aca="false">SUM(D2:D77)</f>
        <v>7346.5</v>
      </c>
    </row>
    <row r="80" customFormat="false" ht="15" hidden="false" customHeight="false" outlineLevel="0" collapsed="false">
      <c r="A80" s="3" t="s">
        <v>189</v>
      </c>
      <c r="C80" s="3" t="n">
        <f aca="false">SUMIF(E2:E77,"exato",C2:C77)</f>
        <v>152</v>
      </c>
    </row>
    <row r="81" customFormat="false" ht="15" hidden="false" customHeight="false" outlineLevel="0" collapsed="false">
      <c r="A81" s="3" t="s">
        <v>190</v>
      </c>
      <c r="C81" s="3" t="n">
        <f aca="false">SUMIF(E2:E77,"aproximado",C2:C77)</f>
        <v>39</v>
      </c>
    </row>
    <row r="82" customFormat="false" ht="15" hidden="false" customHeight="false" outlineLevel="0" collapsed="false">
      <c r="A82" s="3" t="s">
        <v>191</v>
      </c>
      <c r="C82" s="3" t="n">
        <f aca="false">SUMIF(E2:E77,"sem ficha",C2:C77)</f>
        <v>142</v>
      </c>
    </row>
    <row r="83" customFormat="false" ht="15" hidden="false" customHeight="false" outlineLevel="0" collapsed="false">
      <c r="A83" s="2" t="s">
        <v>192</v>
      </c>
      <c r="C83" s="15" t="n">
        <f aca="false">(C80+C81)/C79</f>
        <v>0.573573573573574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7" min="6" style="0" width="12"/>
    <col collapsed="false" customWidth="true" hidden="false" outlineLevel="0" max="8" min="8" style="0" width="19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7" t="s">
        <v>193</v>
      </c>
      <c r="B1" s="7" t="s">
        <v>194</v>
      </c>
      <c r="C1" s="7" t="s">
        <v>195</v>
      </c>
      <c r="D1" s="7" t="s">
        <v>196</v>
      </c>
      <c r="E1" s="7" t="s">
        <v>197</v>
      </c>
      <c r="F1" s="7" t="s">
        <v>198</v>
      </c>
      <c r="G1" s="7" t="s">
        <v>199</v>
      </c>
      <c r="H1" s="7" t="s">
        <v>200</v>
      </c>
      <c r="I1" s="7" t="s">
        <v>201</v>
      </c>
    </row>
    <row r="2" customFormat="false" ht="15" hidden="false" customHeight="false" outlineLevel="0" collapsed="false">
      <c r="A2" s="13" t="s">
        <v>202</v>
      </c>
      <c r="B2" s="13" t="s">
        <v>203</v>
      </c>
      <c r="C2" s="13" t="n">
        <v>78</v>
      </c>
      <c r="D2" s="14" t="n">
        <v>5.5</v>
      </c>
      <c r="E2" s="13" t="n">
        <v>2</v>
      </c>
      <c r="F2" s="14" t="n">
        <v>1000</v>
      </c>
      <c r="G2" s="13" t="s">
        <v>204</v>
      </c>
      <c r="H2" s="10"/>
      <c r="I2" s="10"/>
    </row>
    <row r="3" customFormat="false" ht="15" hidden="false" customHeight="false" outlineLevel="0" collapsed="false">
      <c r="A3" s="13" t="s">
        <v>205</v>
      </c>
      <c r="B3" s="13" t="s">
        <v>206</v>
      </c>
      <c r="C3" s="13" t="n">
        <v>60</v>
      </c>
      <c r="D3" s="14" t="n">
        <v>115</v>
      </c>
      <c r="E3" s="13" t="n">
        <v>2</v>
      </c>
      <c r="F3" s="14" t="n">
        <v>1000</v>
      </c>
      <c r="G3" s="13" t="s">
        <v>207</v>
      </c>
      <c r="H3" s="10"/>
      <c r="I3" s="10"/>
    </row>
    <row r="4" customFormat="false" ht="15" hidden="false" customHeight="false" outlineLevel="0" collapsed="false">
      <c r="A4" s="11" t="s">
        <v>208</v>
      </c>
      <c r="B4" s="11" t="s">
        <v>209</v>
      </c>
      <c r="C4" s="11" t="n">
        <v>50</v>
      </c>
      <c r="D4" s="12" t="n">
        <v>0.189</v>
      </c>
      <c r="E4" s="11" t="n">
        <v>1</v>
      </c>
      <c r="F4" s="12" t="n">
        <v>1</v>
      </c>
      <c r="G4" s="11" t="s">
        <v>210</v>
      </c>
      <c r="H4" s="10"/>
      <c r="I4" s="10"/>
    </row>
    <row r="5" customFormat="false" ht="15" hidden="false" customHeight="false" outlineLevel="0" collapsed="false">
      <c r="A5" s="11" t="s">
        <v>211</v>
      </c>
      <c r="B5" s="11" t="s">
        <v>212</v>
      </c>
      <c r="C5" s="11" t="n">
        <v>50</v>
      </c>
      <c r="D5" s="12" t="n">
        <v>0.6177</v>
      </c>
      <c r="E5" s="11" t="n">
        <v>1</v>
      </c>
      <c r="F5" s="12" t="n">
        <v>1</v>
      </c>
      <c r="G5" s="11" t="s">
        <v>210</v>
      </c>
      <c r="H5" s="10"/>
      <c r="I5" s="10"/>
    </row>
    <row r="6" customFormat="false" ht="15" hidden="false" customHeight="false" outlineLevel="0" collapsed="false">
      <c r="A6" s="11" t="s">
        <v>213</v>
      </c>
      <c r="B6" s="11" t="s">
        <v>214</v>
      </c>
      <c r="C6" s="11" t="n">
        <v>49</v>
      </c>
      <c r="D6" s="12" t="n">
        <v>0.095</v>
      </c>
      <c r="E6" s="11" t="n">
        <v>1</v>
      </c>
      <c r="F6" s="12" t="n">
        <v>1</v>
      </c>
      <c r="G6" s="11" t="s">
        <v>210</v>
      </c>
      <c r="H6" s="10"/>
      <c r="I6" s="10"/>
    </row>
    <row r="7" customFormat="false" ht="15" hidden="false" customHeight="false" outlineLevel="0" collapsed="false">
      <c r="A7" s="11" t="s">
        <v>215</v>
      </c>
      <c r="B7" s="11" t="s">
        <v>216</v>
      </c>
      <c r="C7" s="11" t="n">
        <v>43</v>
      </c>
      <c r="D7" s="12" t="n">
        <v>220</v>
      </c>
      <c r="E7" s="11" t="n">
        <v>1</v>
      </c>
      <c r="F7" s="12" t="n">
        <v>2500</v>
      </c>
      <c r="G7" s="11" t="s">
        <v>210</v>
      </c>
      <c r="H7" s="10"/>
      <c r="I7" s="10"/>
    </row>
    <row r="8" customFormat="false" ht="15" hidden="false" customHeight="false" outlineLevel="0" collapsed="false">
      <c r="A8" s="11" t="s">
        <v>217</v>
      </c>
      <c r="B8" s="11" t="s">
        <v>218</v>
      </c>
      <c r="C8" s="11" t="n">
        <v>37</v>
      </c>
      <c r="D8" s="12" t="n">
        <v>55</v>
      </c>
      <c r="E8" s="11" t="n">
        <v>1</v>
      </c>
      <c r="F8" s="12" t="n">
        <v>500</v>
      </c>
      <c r="G8" s="11" t="s">
        <v>210</v>
      </c>
      <c r="H8" s="10"/>
      <c r="I8" s="10"/>
    </row>
    <row r="9" customFormat="false" ht="15" hidden="false" customHeight="false" outlineLevel="0" collapsed="false">
      <c r="A9" s="11" t="s">
        <v>219</v>
      </c>
      <c r="B9" s="11" t="s">
        <v>220</v>
      </c>
      <c r="C9" s="11" t="n">
        <v>34</v>
      </c>
      <c r="D9" s="12" t="n">
        <v>0.667</v>
      </c>
      <c r="E9" s="11" t="n">
        <v>1</v>
      </c>
      <c r="F9" s="12" t="n">
        <v>1</v>
      </c>
      <c r="G9" s="11" t="s">
        <v>210</v>
      </c>
      <c r="H9" s="10"/>
      <c r="I9" s="10"/>
    </row>
    <row r="10" customFormat="false" ht="15" hidden="false" customHeight="false" outlineLevel="0" collapsed="false">
      <c r="A10" s="11" t="s">
        <v>221</v>
      </c>
      <c r="B10" s="11" t="s">
        <v>222</v>
      </c>
      <c r="C10" s="11" t="n">
        <v>34</v>
      </c>
      <c r="D10" s="12" t="n">
        <v>20</v>
      </c>
      <c r="E10" s="11" t="n">
        <v>1</v>
      </c>
      <c r="F10" s="12" t="n">
        <v>1000</v>
      </c>
      <c r="G10" s="11" t="s">
        <v>207</v>
      </c>
      <c r="H10" s="10"/>
      <c r="I10" s="10"/>
    </row>
    <row r="11" customFormat="false" ht="15" hidden="false" customHeight="false" outlineLevel="0" collapsed="false">
      <c r="A11" s="11" t="s">
        <v>223</v>
      </c>
      <c r="B11" s="11" t="s">
        <v>224</v>
      </c>
      <c r="C11" s="11" t="n">
        <v>28</v>
      </c>
      <c r="D11" s="12" t="n">
        <v>0.200025</v>
      </c>
      <c r="E11" s="11" t="n">
        <v>1</v>
      </c>
      <c r="F11" s="12" t="n">
        <v>1</v>
      </c>
      <c r="G11" s="11" t="s">
        <v>210</v>
      </c>
      <c r="H11" s="10"/>
      <c r="I11" s="10"/>
    </row>
    <row r="12" customFormat="false" ht="15" hidden="false" customHeight="false" outlineLevel="0" collapsed="false">
      <c r="A12" s="11" t="s">
        <v>225</v>
      </c>
      <c r="B12" s="11" t="s">
        <v>226</v>
      </c>
      <c r="C12" s="11" t="n">
        <v>20</v>
      </c>
      <c r="D12" s="12" t="n">
        <v>59</v>
      </c>
      <c r="E12" s="11" t="n">
        <v>1</v>
      </c>
      <c r="F12" s="12" t="n">
        <v>1000</v>
      </c>
      <c r="G12" s="11" t="s">
        <v>204</v>
      </c>
      <c r="H12" s="10"/>
      <c r="I12" s="10"/>
    </row>
    <row r="13" customFormat="false" ht="15" hidden="false" customHeight="false" outlineLevel="0" collapsed="false">
      <c r="A13" s="11" t="s">
        <v>227</v>
      </c>
      <c r="B13" s="11" t="s">
        <v>228</v>
      </c>
      <c r="C13" s="11" t="n">
        <v>20</v>
      </c>
      <c r="D13" s="12" t="n">
        <v>52</v>
      </c>
      <c r="E13" s="11" t="n">
        <v>1</v>
      </c>
      <c r="F13" s="12" t="n">
        <v>400</v>
      </c>
      <c r="G13" s="11" t="s">
        <v>210</v>
      </c>
      <c r="H13" s="10"/>
      <c r="I13" s="10"/>
    </row>
    <row r="14" customFormat="false" ht="15" hidden="false" customHeight="false" outlineLevel="0" collapsed="false">
      <c r="A14" s="11" t="s">
        <v>229</v>
      </c>
      <c r="B14" s="11" t="s">
        <v>230</v>
      </c>
      <c r="C14" s="11" t="n">
        <v>19</v>
      </c>
      <c r="D14" s="12" t="n">
        <v>450</v>
      </c>
      <c r="E14" s="11" t="n">
        <v>1</v>
      </c>
      <c r="F14" s="12" t="n">
        <v>1000</v>
      </c>
      <c r="G14" s="11" t="s">
        <v>207</v>
      </c>
      <c r="H14" s="10"/>
      <c r="I14" s="10"/>
    </row>
    <row r="15" customFormat="false" ht="15" hidden="false" customHeight="false" outlineLevel="0" collapsed="false">
      <c r="A15" s="11" t="s">
        <v>231</v>
      </c>
      <c r="B15" s="11" t="s">
        <v>232</v>
      </c>
      <c r="C15" s="11" t="n">
        <v>13</v>
      </c>
      <c r="D15" s="12" t="n">
        <v>80</v>
      </c>
      <c r="E15" s="11" t="n">
        <v>1</v>
      </c>
      <c r="F15" s="12" t="n">
        <v>700</v>
      </c>
      <c r="G15" s="11" t="s">
        <v>204</v>
      </c>
      <c r="H15" s="10"/>
      <c r="I15" s="10"/>
    </row>
    <row r="16" customFormat="false" ht="15" hidden="false" customHeight="false" outlineLevel="0" collapsed="false">
      <c r="A16" s="13" t="s">
        <v>233</v>
      </c>
      <c r="B16" s="13" t="s">
        <v>234</v>
      </c>
      <c r="C16" s="13" t="n">
        <v>13</v>
      </c>
      <c r="D16" s="14" t="n">
        <v>45</v>
      </c>
      <c r="E16" s="13" t="n">
        <v>2</v>
      </c>
      <c r="F16" s="14" t="n">
        <v>1000</v>
      </c>
      <c r="G16" s="13" t="s">
        <v>207</v>
      </c>
      <c r="H16" s="10"/>
      <c r="I16" s="10"/>
    </row>
    <row r="17" customFormat="false" ht="15" hidden="false" customHeight="false" outlineLevel="0" collapsed="false">
      <c r="A17" s="11" t="s">
        <v>235</v>
      </c>
      <c r="B17" s="11" t="s">
        <v>236</v>
      </c>
      <c r="C17" s="11" t="n">
        <v>12</v>
      </c>
      <c r="D17" s="12" t="n">
        <v>0.276</v>
      </c>
      <c r="E17" s="11" t="n">
        <v>1</v>
      </c>
      <c r="F17" s="12" t="n">
        <v>1</v>
      </c>
      <c r="G17" s="11" t="s">
        <v>210</v>
      </c>
      <c r="H17" s="10"/>
      <c r="I17" s="10"/>
    </row>
    <row r="18" customFormat="false" ht="15" hidden="false" customHeight="false" outlineLevel="0" collapsed="false">
      <c r="A18" s="11" t="s">
        <v>237</v>
      </c>
      <c r="B18" s="11" t="s">
        <v>238</v>
      </c>
      <c r="C18" s="11" t="n">
        <v>12</v>
      </c>
      <c r="D18" s="12" t="n">
        <v>65</v>
      </c>
      <c r="E18" s="11" t="n">
        <v>1</v>
      </c>
      <c r="F18" s="12" t="n">
        <v>1000</v>
      </c>
      <c r="G18" s="11" t="s">
        <v>204</v>
      </c>
      <c r="H18" s="10"/>
      <c r="I18" s="10"/>
    </row>
    <row r="19" customFormat="false" ht="15" hidden="false" customHeight="false" outlineLevel="0" collapsed="false">
      <c r="A19" s="13" t="s">
        <v>239</v>
      </c>
      <c r="B19" s="13" t="s">
        <v>240</v>
      </c>
      <c r="C19" s="13" t="n">
        <v>11</v>
      </c>
      <c r="D19" s="14" t="n">
        <v>2</v>
      </c>
      <c r="E19" s="13" t="n">
        <v>2</v>
      </c>
      <c r="F19" s="14" t="n">
        <v>1</v>
      </c>
      <c r="G19" s="13" t="s">
        <v>210</v>
      </c>
      <c r="H19" s="10"/>
      <c r="I19" s="10"/>
    </row>
    <row r="20" customFormat="false" ht="15" hidden="false" customHeight="false" outlineLevel="0" collapsed="false">
      <c r="A20" s="11" t="s">
        <v>241</v>
      </c>
      <c r="B20" s="11" t="s">
        <v>71</v>
      </c>
      <c r="C20" s="11" t="n">
        <v>10</v>
      </c>
      <c r="D20" s="12" t="n">
        <v>280</v>
      </c>
      <c r="E20" s="11" t="n">
        <v>1</v>
      </c>
      <c r="F20" s="12" t="n">
        <v>50</v>
      </c>
      <c r="G20" s="11" t="s">
        <v>210</v>
      </c>
      <c r="H20" s="10"/>
      <c r="I20" s="10"/>
    </row>
    <row r="21" customFormat="false" ht="15" hidden="false" customHeight="false" outlineLevel="0" collapsed="false">
      <c r="A21" s="11" t="s">
        <v>242</v>
      </c>
      <c r="B21" s="11" t="s">
        <v>243</v>
      </c>
      <c r="C21" s="11" t="n">
        <v>10</v>
      </c>
      <c r="D21" s="12" t="n">
        <v>17.4</v>
      </c>
      <c r="E21" s="11" t="n">
        <v>1</v>
      </c>
      <c r="F21" s="12" t="n">
        <v>500</v>
      </c>
      <c r="G21" s="11" t="s">
        <v>207</v>
      </c>
      <c r="H21" s="10"/>
      <c r="I21" s="10"/>
    </row>
    <row r="22" customFormat="false" ht="15" hidden="false" customHeight="false" outlineLevel="0" collapsed="false">
      <c r="A22" s="11" t="s">
        <v>244</v>
      </c>
      <c r="B22" s="11" t="s">
        <v>245</v>
      </c>
      <c r="C22" s="11" t="n">
        <v>10</v>
      </c>
      <c r="D22" s="12" t="n">
        <v>37.1</v>
      </c>
      <c r="E22" s="11" t="n">
        <v>1</v>
      </c>
      <c r="F22" s="12" t="n">
        <v>500</v>
      </c>
      <c r="G22" s="11" t="s">
        <v>207</v>
      </c>
      <c r="H22" s="10"/>
      <c r="I22" s="10"/>
    </row>
    <row r="23" customFormat="false" ht="15" hidden="false" customHeight="false" outlineLevel="0" collapsed="false">
      <c r="A23" s="11" t="s">
        <v>246</v>
      </c>
      <c r="B23" s="11" t="s">
        <v>247</v>
      </c>
      <c r="C23" s="11" t="n">
        <v>10</v>
      </c>
      <c r="D23" s="12" t="n">
        <v>20</v>
      </c>
      <c r="E23" s="11" t="n">
        <v>1</v>
      </c>
      <c r="F23" s="12" t="n">
        <v>270</v>
      </c>
      <c r="G23" s="11" t="s">
        <v>207</v>
      </c>
      <c r="H23" s="10"/>
      <c r="I23" s="10"/>
    </row>
    <row r="24" customFormat="false" ht="15" hidden="false" customHeight="false" outlineLevel="0" collapsed="false">
      <c r="A24" s="11" t="s">
        <v>248</v>
      </c>
      <c r="B24" s="11" t="s">
        <v>63</v>
      </c>
      <c r="C24" s="11" t="n">
        <v>9</v>
      </c>
      <c r="D24" s="12" t="n">
        <v>2.5</v>
      </c>
      <c r="E24" s="11" t="n">
        <v>1</v>
      </c>
      <c r="F24" s="12" t="n">
        <v>500</v>
      </c>
      <c r="G24" s="11" t="s">
        <v>204</v>
      </c>
      <c r="H24" s="10"/>
      <c r="I24" s="10"/>
    </row>
    <row r="25" customFormat="false" ht="15" hidden="false" customHeight="false" outlineLevel="0" collapsed="false">
      <c r="A25" s="13" t="s">
        <v>249</v>
      </c>
      <c r="B25" s="13" t="s">
        <v>250</v>
      </c>
      <c r="C25" s="13" t="n">
        <v>8</v>
      </c>
      <c r="D25" s="14" t="n">
        <v>50</v>
      </c>
      <c r="E25" s="13" t="n">
        <v>2</v>
      </c>
      <c r="F25" s="14" t="n">
        <v>1</v>
      </c>
      <c r="G25" s="13" t="s">
        <v>210</v>
      </c>
      <c r="H25" s="10"/>
      <c r="I25" s="10"/>
    </row>
    <row r="26" customFormat="false" ht="15" hidden="false" customHeight="false" outlineLevel="0" collapsed="false">
      <c r="A26" s="11" t="s">
        <v>251</v>
      </c>
      <c r="B26" s="11" t="s">
        <v>252</v>
      </c>
      <c r="C26" s="11" t="n">
        <v>8</v>
      </c>
      <c r="D26" s="12" t="n">
        <v>380</v>
      </c>
      <c r="E26" s="11" t="n">
        <v>1</v>
      </c>
      <c r="F26" s="12" t="n">
        <v>1000</v>
      </c>
      <c r="G26" s="11" t="s">
        <v>207</v>
      </c>
      <c r="H26" s="10"/>
      <c r="I26" s="10"/>
    </row>
    <row r="27" customFormat="false" ht="15" hidden="false" customHeight="false" outlineLevel="0" collapsed="false">
      <c r="A27" s="11" t="s">
        <v>253</v>
      </c>
      <c r="B27" s="11" t="s">
        <v>254</v>
      </c>
      <c r="C27" s="11" t="n">
        <v>8</v>
      </c>
      <c r="D27" s="12" t="n">
        <v>68.27</v>
      </c>
      <c r="E27" s="11" t="n">
        <v>1</v>
      </c>
      <c r="F27" s="12" t="n">
        <v>18</v>
      </c>
      <c r="G27" s="11" t="s">
        <v>210</v>
      </c>
      <c r="H27" s="10"/>
      <c r="I27" s="10"/>
    </row>
    <row r="28" customFormat="false" ht="15" hidden="false" customHeight="false" outlineLevel="0" collapsed="false">
      <c r="A28" s="11" t="s">
        <v>255</v>
      </c>
      <c r="B28" s="11" t="s">
        <v>256</v>
      </c>
      <c r="C28" s="11" t="n">
        <v>8</v>
      </c>
      <c r="D28" s="12" t="n">
        <v>39</v>
      </c>
      <c r="E28" s="11" t="n">
        <v>1</v>
      </c>
      <c r="F28" s="12" t="n">
        <v>1000</v>
      </c>
      <c r="G28" s="11" t="s">
        <v>207</v>
      </c>
      <c r="H28" s="10"/>
      <c r="I28" s="10"/>
    </row>
    <row r="29" customFormat="false" ht="15" hidden="false" customHeight="false" outlineLevel="0" collapsed="false">
      <c r="A29" s="11" t="s">
        <v>257</v>
      </c>
      <c r="B29" s="11" t="s">
        <v>258</v>
      </c>
      <c r="C29" s="11" t="n">
        <v>7</v>
      </c>
      <c r="D29" s="12" t="n">
        <v>2.38</v>
      </c>
      <c r="E29" s="11" t="n">
        <v>1</v>
      </c>
      <c r="F29" s="12" t="n">
        <v>350</v>
      </c>
      <c r="G29" s="11" t="s">
        <v>204</v>
      </c>
      <c r="H29" s="10"/>
      <c r="I29" s="10"/>
    </row>
    <row r="30" customFormat="false" ht="15" hidden="false" customHeight="false" outlineLevel="0" collapsed="false">
      <c r="A30" s="11" t="s">
        <v>259</v>
      </c>
      <c r="B30" s="11" t="s">
        <v>260</v>
      </c>
      <c r="C30" s="11" t="n">
        <v>7</v>
      </c>
      <c r="D30" s="12" t="n">
        <v>50</v>
      </c>
      <c r="E30" s="11" t="n">
        <v>1</v>
      </c>
      <c r="F30" s="12" t="n">
        <v>1000</v>
      </c>
      <c r="G30" s="11" t="s">
        <v>207</v>
      </c>
      <c r="H30" s="10"/>
      <c r="I30" s="10"/>
    </row>
    <row r="31" customFormat="false" ht="15" hidden="false" customHeight="false" outlineLevel="0" collapsed="false">
      <c r="A31" s="13" t="s">
        <v>261</v>
      </c>
      <c r="B31" s="13" t="s">
        <v>262</v>
      </c>
      <c r="C31" s="13" t="n">
        <v>7</v>
      </c>
      <c r="D31" s="14" t="n">
        <v>47</v>
      </c>
      <c r="E31" s="13" t="n">
        <v>2</v>
      </c>
      <c r="F31" s="14" t="n">
        <v>1</v>
      </c>
      <c r="G31" s="13" t="s">
        <v>210</v>
      </c>
      <c r="H31" s="10"/>
      <c r="I31" s="10"/>
    </row>
    <row r="32" customFormat="false" ht="15" hidden="false" customHeight="false" outlineLevel="0" collapsed="false">
      <c r="A32" s="13" t="s">
        <v>263</v>
      </c>
      <c r="B32" s="13" t="s">
        <v>264</v>
      </c>
      <c r="C32" s="13" t="n">
        <v>7</v>
      </c>
      <c r="D32" s="14" t="n">
        <v>1</v>
      </c>
      <c r="E32" s="13" t="n">
        <v>2</v>
      </c>
      <c r="F32" s="14" t="n">
        <v>1000</v>
      </c>
      <c r="G32" s="13" t="s">
        <v>204</v>
      </c>
      <c r="H32" s="10"/>
      <c r="I32" s="10"/>
    </row>
    <row r="33" customFormat="false" ht="15" hidden="false" customHeight="false" outlineLevel="0" collapsed="false">
      <c r="A33" s="11" t="s">
        <v>265</v>
      </c>
      <c r="B33" s="11" t="s">
        <v>266</v>
      </c>
      <c r="C33" s="11" t="n">
        <v>6</v>
      </c>
      <c r="D33" s="12" t="n">
        <v>144.97</v>
      </c>
      <c r="E33" s="11" t="n">
        <v>1</v>
      </c>
      <c r="F33" s="12" t="n">
        <v>50</v>
      </c>
      <c r="G33" s="11" t="s">
        <v>210</v>
      </c>
      <c r="H33" s="10"/>
      <c r="I33" s="10"/>
    </row>
    <row r="34" customFormat="false" ht="15" hidden="false" customHeight="false" outlineLevel="0" collapsed="false">
      <c r="A34" s="11" t="s">
        <v>267</v>
      </c>
      <c r="B34" s="11" t="s">
        <v>268</v>
      </c>
      <c r="C34" s="11" t="n">
        <v>6</v>
      </c>
      <c r="D34" s="12" t="n">
        <v>65</v>
      </c>
      <c r="E34" s="11" t="n">
        <v>1</v>
      </c>
      <c r="F34" s="12" t="n">
        <v>1000</v>
      </c>
      <c r="G34" s="11" t="s">
        <v>204</v>
      </c>
      <c r="H34" s="10"/>
      <c r="I34" s="10"/>
    </row>
    <row r="35" customFormat="false" ht="15" hidden="false" customHeight="false" outlineLevel="0" collapsed="false">
      <c r="A35" s="11" t="s">
        <v>269</v>
      </c>
      <c r="B35" s="11" t="s">
        <v>270</v>
      </c>
      <c r="C35" s="11" t="n">
        <v>6</v>
      </c>
      <c r="D35" s="12" t="n">
        <v>52</v>
      </c>
      <c r="E35" s="11" t="n">
        <v>1</v>
      </c>
      <c r="F35" s="12" t="n">
        <v>100</v>
      </c>
      <c r="G35" s="11" t="s">
        <v>210</v>
      </c>
      <c r="H35" s="10"/>
      <c r="I35" s="10"/>
    </row>
    <row r="36" customFormat="false" ht="15" hidden="false" customHeight="false" outlineLevel="0" collapsed="false">
      <c r="A36" s="11" t="s">
        <v>271</v>
      </c>
      <c r="B36" s="11" t="s">
        <v>272</v>
      </c>
      <c r="C36" s="11" t="n">
        <v>6</v>
      </c>
      <c r="D36" s="12" t="n">
        <v>0.8278</v>
      </c>
      <c r="E36" s="11" t="n">
        <v>1</v>
      </c>
      <c r="F36" s="12" t="n">
        <v>1</v>
      </c>
      <c r="G36" s="11" t="s">
        <v>210</v>
      </c>
      <c r="H36" s="10"/>
      <c r="I36" s="10"/>
    </row>
    <row r="37" customFormat="false" ht="15" hidden="false" customHeight="false" outlineLevel="0" collapsed="false">
      <c r="A37" s="13" t="s">
        <v>273</v>
      </c>
      <c r="B37" s="13" t="s">
        <v>273</v>
      </c>
      <c r="C37" s="13" t="n">
        <v>5</v>
      </c>
      <c r="D37" s="14" t="n">
        <v>0.1</v>
      </c>
      <c r="E37" s="13" t="n">
        <v>2</v>
      </c>
      <c r="F37" s="14" t="n">
        <v>1000</v>
      </c>
      <c r="G37" s="13" t="s">
        <v>207</v>
      </c>
      <c r="H37" s="10"/>
      <c r="I37" s="10"/>
    </row>
    <row r="38" customFormat="false" ht="15" hidden="false" customHeight="false" outlineLevel="0" collapsed="false">
      <c r="A38" s="11" t="s">
        <v>274</v>
      </c>
      <c r="B38" s="11" t="s">
        <v>275</v>
      </c>
      <c r="C38" s="11" t="n">
        <v>5</v>
      </c>
      <c r="D38" s="12" t="n">
        <v>12</v>
      </c>
      <c r="E38" s="11" t="n">
        <v>1</v>
      </c>
      <c r="F38" s="12" t="n">
        <v>120</v>
      </c>
      <c r="G38" s="11" t="s">
        <v>207</v>
      </c>
      <c r="H38" s="10"/>
      <c r="I38" s="10"/>
    </row>
    <row r="39" customFormat="false" ht="15" hidden="false" customHeight="false" outlineLevel="0" collapsed="false">
      <c r="A39" s="11" t="s">
        <v>276</v>
      </c>
      <c r="B39" s="11" t="s">
        <v>277</v>
      </c>
      <c r="C39" s="11" t="n">
        <v>5</v>
      </c>
      <c r="D39" s="12" t="n">
        <v>12</v>
      </c>
      <c r="E39" s="11" t="n">
        <v>1</v>
      </c>
      <c r="F39" s="12" t="n">
        <v>1000</v>
      </c>
      <c r="G39" s="11" t="s">
        <v>207</v>
      </c>
      <c r="H39" s="10"/>
      <c r="I39" s="10"/>
    </row>
    <row r="40" customFormat="false" ht="15" hidden="false" customHeight="false" outlineLevel="0" collapsed="false">
      <c r="A40" s="11" t="s">
        <v>278</v>
      </c>
      <c r="B40" s="11" t="s">
        <v>279</v>
      </c>
      <c r="C40" s="11" t="n">
        <v>5</v>
      </c>
      <c r="D40" s="12" t="n">
        <v>38</v>
      </c>
      <c r="E40" s="11" t="n">
        <v>1</v>
      </c>
      <c r="F40" s="12" t="n">
        <v>1000</v>
      </c>
      <c r="G40" s="11" t="s">
        <v>207</v>
      </c>
      <c r="H40" s="10"/>
      <c r="I40" s="10"/>
    </row>
    <row r="41" customFormat="false" ht="15" hidden="false" customHeight="false" outlineLevel="0" collapsed="false">
      <c r="A41" s="11" t="s">
        <v>280</v>
      </c>
      <c r="B41" s="11" t="s">
        <v>281</v>
      </c>
      <c r="C41" s="11" t="n">
        <v>5</v>
      </c>
      <c r="D41" s="12" t="n">
        <v>154</v>
      </c>
      <c r="E41" s="11" t="n">
        <v>1</v>
      </c>
      <c r="F41" s="12" t="n">
        <v>66</v>
      </c>
      <c r="G41" s="11" t="s">
        <v>210</v>
      </c>
      <c r="H41" s="10"/>
      <c r="I41" s="10"/>
    </row>
    <row r="42" customFormat="false" ht="15" hidden="false" customHeight="false" outlineLevel="0" collapsed="false">
      <c r="A42" s="11" t="s">
        <v>282</v>
      </c>
      <c r="B42" s="11" t="s">
        <v>283</v>
      </c>
      <c r="C42" s="11" t="n">
        <v>5</v>
      </c>
      <c r="D42" s="12" t="n">
        <v>2.0071</v>
      </c>
      <c r="E42" s="11" t="n">
        <v>1</v>
      </c>
      <c r="F42" s="12" t="n">
        <v>50</v>
      </c>
      <c r="G42" s="11" t="s">
        <v>207</v>
      </c>
      <c r="H42" s="10"/>
      <c r="I42" s="10"/>
    </row>
    <row r="43" customFormat="false" ht="15" hidden="false" customHeight="false" outlineLevel="0" collapsed="false">
      <c r="A43" s="11" t="s">
        <v>284</v>
      </c>
      <c r="B43" s="11" t="s">
        <v>285</v>
      </c>
      <c r="C43" s="11" t="n">
        <v>5</v>
      </c>
      <c r="D43" s="12" t="n">
        <v>12.3</v>
      </c>
      <c r="E43" s="11" t="n">
        <v>1</v>
      </c>
      <c r="F43" s="12" t="n">
        <v>1000</v>
      </c>
      <c r="G43" s="11" t="s">
        <v>204</v>
      </c>
      <c r="H43" s="10"/>
      <c r="I43" s="10"/>
    </row>
    <row r="44" customFormat="false" ht="15" hidden="false" customHeight="false" outlineLevel="0" collapsed="false">
      <c r="A44" s="11" t="s">
        <v>286</v>
      </c>
      <c r="B44" s="11" t="s">
        <v>80</v>
      </c>
      <c r="C44" s="11" t="n">
        <v>5</v>
      </c>
      <c r="D44" s="12" t="n">
        <v>144.97</v>
      </c>
      <c r="E44" s="11" t="n">
        <v>1</v>
      </c>
      <c r="F44" s="12" t="n">
        <v>50</v>
      </c>
      <c r="G44" s="11" t="s">
        <v>210</v>
      </c>
      <c r="H44" s="10"/>
      <c r="I44" s="10"/>
    </row>
    <row r="45" customFormat="false" ht="15" hidden="false" customHeight="false" outlineLevel="0" collapsed="false">
      <c r="A45" s="11" t="s">
        <v>287</v>
      </c>
      <c r="B45" s="11" t="s">
        <v>288</v>
      </c>
      <c r="C45" s="11" t="n">
        <v>5</v>
      </c>
      <c r="D45" s="12" t="n">
        <v>12</v>
      </c>
      <c r="E45" s="11" t="n">
        <v>1</v>
      </c>
      <c r="F45" s="12" t="n">
        <v>1000</v>
      </c>
      <c r="G45" s="11" t="s">
        <v>207</v>
      </c>
      <c r="H45" s="10"/>
      <c r="I45" s="10"/>
    </row>
    <row r="46" customFormat="false" ht="15" hidden="false" customHeight="false" outlineLevel="0" collapsed="false">
      <c r="A46" s="11" t="s">
        <v>289</v>
      </c>
      <c r="B46" s="11" t="s">
        <v>290</v>
      </c>
      <c r="C46" s="11" t="n">
        <v>5</v>
      </c>
      <c r="D46" s="12" t="n">
        <v>27</v>
      </c>
      <c r="E46" s="11" t="n">
        <v>1</v>
      </c>
      <c r="F46" s="12" t="n">
        <v>30</v>
      </c>
      <c r="G46" s="11" t="s">
        <v>210</v>
      </c>
      <c r="H46" s="10"/>
      <c r="I46" s="10"/>
    </row>
    <row r="47" customFormat="false" ht="15" hidden="false" customHeight="false" outlineLevel="0" collapsed="false">
      <c r="A47" s="11" t="s">
        <v>291</v>
      </c>
      <c r="B47" s="11" t="s">
        <v>291</v>
      </c>
      <c r="C47" s="11" t="n">
        <v>5</v>
      </c>
      <c r="D47" s="12" t="n">
        <v>14</v>
      </c>
      <c r="E47" s="11" t="n">
        <v>1</v>
      </c>
      <c r="F47" s="12" t="n">
        <v>200</v>
      </c>
      <c r="G47" s="11" t="s">
        <v>207</v>
      </c>
      <c r="H47" s="10"/>
      <c r="I47" s="10"/>
    </row>
    <row r="48" customFormat="false" ht="15" hidden="false" customHeight="false" outlineLevel="0" collapsed="false">
      <c r="A48" s="11" t="s">
        <v>292</v>
      </c>
      <c r="B48" s="11" t="s">
        <v>293</v>
      </c>
      <c r="C48" s="11" t="n">
        <v>4</v>
      </c>
      <c r="D48" s="12" t="n">
        <v>4.56</v>
      </c>
      <c r="E48" s="11" t="n">
        <v>1</v>
      </c>
      <c r="F48" s="12" t="n">
        <v>1</v>
      </c>
      <c r="G48" s="11" t="s">
        <v>210</v>
      </c>
      <c r="H48" s="10"/>
      <c r="I48" s="10"/>
    </row>
    <row r="49" customFormat="false" ht="15" hidden="false" customHeight="false" outlineLevel="0" collapsed="false">
      <c r="A49" s="11" t="s">
        <v>294</v>
      </c>
      <c r="B49" s="11" t="s">
        <v>295</v>
      </c>
      <c r="C49" s="11" t="n">
        <v>4</v>
      </c>
      <c r="D49" s="12" t="n">
        <v>265</v>
      </c>
      <c r="E49" s="11" t="n">
        <v>1</v>
      </c>
      <c r="F49" s="12" t="n">
        <v>50</v>
      </c>
      <c r="G49" s="11" t="s">
        <v>210</v>
      </c>
      <c r="H49" s="10"/>
      <c r="I49" s="10"/>
    </row>
    <row r="50" customFormat="false" ht="15" hidden="false" customHeight="false" outlineLevel="0" collapsed="false">
      <c r="A50" s="11" t="s">
        <v>296</v>
      </c>
      <c r="B50" s="11" t="s">
        <v>162</v>
      </c>
      <c r="C50" s="11" t="n">
        <v>4</v>
      </c>
      <c r="D50" s="12" t="n">
        <v>2</v>
      </c>
      <c r="E50" s="11" t="n">
        <v>1</v>
      </c>
      <c r="F50" s="12" t="n">
        <v>1</v>
      </c>
      <c r="G50" s="11" t="s">
        <v>210</v>
      </c>
      <c r="H50" s="10"/>
      <c r="I50" s="10"/>
    </row>
    <row r="51" customFormat="false" ht="15" hidden="false" customHeight="false" outlineLevel="0" collapsed="false">
      <c r="A51" s="11" t="s">
        <v>297</v>
      </c>
      <c r="B51" s="11" t="s">
        <v>298</v>
      </c>
      <c r="C51" s="11" t="n">
        <v>4</v>
      </c>
      <c r="D51" s="12" t="n">
        <v>42</v>
      </c>
      <c r="E51" s="11" t="n">
        <v>1</v>
      </c>
      <c r="F51" s="12" t="n">
        <v>1000</v>
      </c>
      <c r="G51" s="11" t="s">
        <v>204</v>
      </c>
      <c r="H51" s="10"/>
      <c r="I51" s="10"/>
    </row>
    <row r="52" customFormat="false" ht="15" hidden="false" customHeight="false" outlineLevel="0" collapsed="false">
      <c r="A52" s="11" t="s">
        <v>299</v>
      </c>
      <c r="B52" s="11" t="s">
        <v>93</v>
      </c>
      <c r="C52" s="11" t="n">
        <v>4</v>
      </c>
      <c r="D52" s="12" t="n">
        <v>171.06</v>
      </c>
      <c r="E52" s="11" t="n">
        <v>1</v>
      </c>
      <c r="F52" s="12" t="n">
        <v>45</v>
      </c>
      <c r="G52" s="11" t="s">
        <v>210</v>
      </c>
      <c r="H52" s="10"/>
      <c r="I52" s="10"/>
    </row>
    <row r="53" customFormat="false" ht="15" hidden="false" customHeight="false" outlineLevel="0" collapsed="false">
      <c r="A53" s="11" t="s">
        <v>300</v>
      </c>
      <c r="B53" s="11" t="s">
        <v>301</v>
      </c>
      <c r="C53" s="11" t="n">
        <v>4</v>
      </c>
      <c r="D53" s="12" t="n">
        <v>37</v>
      </c>
      <c r="E53" s="11" t="n">
        <v>1</v>
      </c>
      <c r="F53" s="12" t="n">
        <v>1</v>
      </c>
      <c r="G53" s="11" t="s">
        <v>210</v>
      </c>
      <c r="H53" s="10"/>
      <c r="I53" s="10"/>
    </row>
    <row r="54" customFormat="false" ht="15" hidden="false" customHeight="false" outlineLevel="0" collapsed="false">
      <c r="A54" s="11" t="s">
        <v>302</v>
      </c>
      <c r="B54" s="11" t="s">
        <v>303</v>
      </c>
      <c r="C54" s="11" t="n">
        <v>4</v>
      </c>
      <c r="D54" s="12" t="n">
        <v>0.473333333333333</v>
      </c>
      <c r="E54" s="11" t="n">
        <v>1</v>
      </c>
      <c r="F54" s="12" t="n">
        <v>1</v>
      </c>
      <c r="G54" s="11" t="s">
        <v>210</v>
      </c>
      <c r="H54" s="10"/>
      <c r="I54" s="10"/>
    </row>
    <row r="55" customFormat="false" ht="15" hidden="false" customHeight="false" outlineLevel="0" collapsed="false">
      <c r="A55" s="11" t="s">
        <v>304</v>
      </c>
      <c r="B55" s="11" t="s">
        <v>305</v>
      </c>
      <c r="C55" s="11" t="n">
        <v>4</v>
      </c>
      <c r="D55" s="12" t="n">
        <v>59</v>
      </c>
      <c r="E55" s="11" t="n">
        <v>1</v>
      </c>
      <c r="F55" s="12" t="n">
        <v>1000</v>
      </c>
      <c r="G55" s="11" t="s">
        <v>204</v>
      </c>
      <c r="H55" s="10"/>
      <c r="I55" s="10"/>
    </row>
    <row r="56" customFormat="false" ht="15" hidden="false" customHeight="false" outlineLevel="0" collapsed="false">
      <c r="A56" s="11" t="s">
        <v>306</v>
      </c>
      <c r="B56" s="11" t="s">
        <v>307</v>
      </c>
      <c r="C56" s="11" t="n">
        <v>4</v>
      </c>
      <c r="D56" s="12" t="n">
        <v>196.62</v>
      </c>
      <c r="E56" s="11" t="n">
        <v>1</v>
      </c>
      <c r="F56" s="12" t="n">
        <v>50</v>
      </c>
      <c r="G56" s="11" t="s">
        <v>210</v>
      </c>
      <c r="H56" s="10"/>
      <c r="I56" s="10"/>
    </row>
    <row r="57" customFormat="false" ht="15" hidden="false" customHeight="false" outlineLevel="0" collapsed="false">
      <c r="A57" s="11" t="s">
        <v>308</v>
      </c>
      <c r="B57" s="11" t="s">
        <v>309</v>
      </c>
      <c r="C57" s="11" t="n">
        <v>4</v>
      </c>
      <c r="D57" s="12" t="n">
        <v>30</v>
      </c>
      <c r="E57" s="11" t="n">
        <v>1</v>
      </c>
      <c r="F57" s="12" t="n">
        <v>1000</v>
      </c>
      <c r="G57" s="11" t="s">
        <v>204</v>
      </c>
      <c r="H57" s="10"/>
      <c r="I57" s="10"/>
    </row>
    <row r="58" customFormat="false" ht="15" hidden="false" customHeight="false" outlineLevel="0" collapsed="false">
      <c r="A58" s="11" t="s">
        <v>310</v>
      </c>
      <c r="B58" s="11" t="s">
        <v>311</v>
      </c>
      <c r="C58" s="11" t="n">
        <v>4</v>
      </c>
      <c r="D58" s="12" t="n">
        <v>35</v>
      </c>
      <c r="E58" s="11" t="n">
        <v>1</v>
      </c>
      <c r="F58" s="12" t="n">
        <v>1000</v>
      </c>
      <c r="G58" s="11" t="s">
        <v>207</v>
      </c>
      <c r="H58" s="10"/>
      <c r="I58" s="10"/>
    </row>
    <row r="59" customFormat="false" ht="15" hidden="false" customHeight="false" outlineLevel="0" collapsed="false">
      <c r="A59" s="11" t="s">
        <v>312</v>
      </c>
      <c r="B59" s="11" t="s">
        <v>313</v>
      </c>
      <c r="C59" s="11" t="n">
        <v>4</v>
      </c>
      <c r="D59" s="12" t="n">
        <v>10.9</v>
      </c>
      <c r="E59" s="11" t="n">
        <v>1</v>
      </c>
      <c r="F59" s="12" t="n">
        <v>1000</v>
      </c>
      <c r="G59" s="11" t="s">
        <v>207</v>
      </c>
      <c r="H59" s="10"/>
      <c r="I59" s="10"/>
    </row>
    <row r="60" customFormat="false" ht="15" hidden="false" customHeight="false" outlineLevel="0" collapsed="false">
      <c r="A60" s="11" t="s">
        <v>314</v>
      </c>
      <c r="B60" s="11" t="s">
        <v>315</v>
      </c>
      <c r="C60" s="11" t="n">
        <v>3</v>
      </c>
      <c r="D60" s="12" t="n">
        <v>53.25</v>
      </c>
      <c r="E60" s="11" t="n">
        <v>1</v>
      </c>
      <c r="F60" s="12" t="n">
        <v>1</v>
      </c>
      <c r="G60" s="11" t="s">
        <v>210</v>
      </c>
      <c r="H60" s="10"/>
      <c r="I60" s="10"/>
    </row>
    <row r="61" customFormat="false" ht="15" hidden="false" customHeight="false" outlineLevel="0" collapsed="false">
      <c r="A61" s="11" t="s">
        <v>316</v>
      </c>
      <c r="B61" s="11" t="s">
        <v>317</v>
      </c>
      <c r="C61" s="11" t="n">
        <v>3</v>
      </c>
      <c r="D61" s="12" t="n">
        <v>2</v>
      </c>
      <c r="E61" s="11" t="n">
        <v>1</v>
      </c>
      <c r="F61" s="12" t="n">
        <v>1</v>
      </c>
      <c r="G61" s="11" t="s">
        <v>210</v>
      </c>
      <c r="H61" s="10"/>
      <c r="I61" s="10"/>
    </row>
    <row r="62" customFormat="false" ht="15" hidden="false" customHeight="false" outlineLevel="0" collapsed="false">
      <c r="A62" s="11" t="s">
        <v>318</v>
      </c>
      <c r="B62" s="11" t="s">
        <v>319</v>
      </c>
      <c r="C62" s="11" t="n">
        <v>3</v>
      </c>
      <c r="D62" s="12" t="n">
        <v>68.27</v>
      </c>
      <c r="E62" s="11" t="n">
        <v>1</v>
      </c>
      <c r="F62" s="12" t="n">
        <v>18</v>
      </c>
      <c r="G62" s="11" t="s">
        <v>210</v>
      </c>
      <c r="H62" s="10"/>
      <c r="I62" s="10"/>
    </row>
    <row r="63" customFormat="false" ht="15" hidden="false" customHeight="false" outlineLevel="0" collapsed="false">
      <c r="A63" s="11" t="s">
        <v>320</v>
      </c>
      <c r="B63" s="11" t="s">
        <v>321</v>
      </c>
      <c r="C63" s="11" t="n">
        <v>3</v>
      </c>
      <c r="D63" s="12" t="n">
        <v>6</v>
      </c>
      <c r="E63" s="11" t="n">
        <v>1</v>
      </c>
      <c r="F63" s="12" t="n">
        <v>150</v>
      </c>
      <c r="G63" s="11" t="s">
        <v>207</v>
      </c>
      <c r="H63" s="10"/>
      <c r="I63" s="10"/>
    </row>
    <row r="64" customFormat="false" ht="15" hidden="false" customHeight="false" outlineLevel="0" collapsed="false">
      <c r="A64" s="11" t="s">
        <v>322</v>
      </c>
      <c r="B64" s="11" t="s">
        <v>323</v>
      </c>
      <c r="C64" s="11" t="n">
        <v>3</v>
      </c>
      <c r="D64" s="12" t="n">
        <v>6.075</v>
      </c>
      <c r="E64" s="11" t="n">
        <v>1</v>
      </c>
      <c r="F64" s="12" t="n">
        <v>1</v>
      </c>
      <c r="G64" s="11" t="s">
        <v>210</v>
      </c>
      <c r="H64" s="10"/>
      <c r="I64" s="10"/>
    </row>
    <row r="65" customFormat="false" ht="15" hidden="false" customHeight="false" outlineLevel="0" collapsed="false">
      <c r="A65" s="11" t="s">
        <v>324</v>
      </c>
      <c r="B65" s="11" t="s">
        <v>325</v>
      </c>
      <c r="C65" s="11" t="n">
        <v>3</v>
      </c>
      <c r="D65" s="12" t="n">
        <v>9.5</v>
      </c>
      <c r="E65" s="11" t="n">
        <v>1</v>
      </c>
      <c r="F65" s="12" t="n">
        <v>900</v>
      </c>
      <c r="G65" s="11" t="s">
        <v>204</v>
      </c>
      <c r="H65" s="10"/>
      <c r="I65" s="10"/>
    </row>
    <row r="66" customFormat="false" ht="15" hidden="false" customHeight="false" outlineLevel="0" collapsed="false">
      <c r="A66" s="11" t="s">
        <v>326</v>
      </c>
      <c r="B66" s="11" t="s">
        <v>327</v>
      </c>
      <c r="C66" s="11" t="n">
        <v>3</v>
      </c>
      <c r="D66" s="12" t="n">
        <v>21.33</v>
      </c>
      <c r="E66" s="11" t="n">
        <v>1</v>
      </c>
      <c r="F66" s="12" t="n">
        <v>1300</v>
      </c>
      <c r="G66" s="11" t="s">
        <v>207</v>
      </c>
      <c r="H66" s="10"/>
      <c r="I66" s="10"/>
    </row>
    <row r="67" customFormat="false" ht="15" hidden="false" customHeight="false" outlineLevel="0" collapsed="false">
      <c r="A67" s="11" t="s">
        <v>328</v>
      </c>
      <c r="B67" s="11" t="s">
        <v>329</v>
      </c>
      <c r="C67" s="11" t="n">
        <v>3</v>
      </c>
      <c r="D67" s="12" t="n">
        <v>2</v>
      </c>
      <c r="E67" s="11" t="n">
        <v>1</v>
      </c>
      <c r="F67" s="12" t="n">
        <v>1</v>
      </c>
      <c r="G67" s="11" t="s">
        <v>210</v>
      </c>
      <c r="H67" s="10"/>
      <c r="I67" s="10"/>
    </row>
    <row r="68" customFormat="false" ht="15" hidden="false" customHeight="false" outlineLevel="0" collapsed="false">
      <c r="A68" s="11" t="s">
        <v>330</v>
      </c>
      <c r="B68" s="11" t="s">
        <v>331</v>
      </c>
      <c r="C68" s="11" t="n">
        <v>3</v>
      </c>
      <c r="D68" s="12" t="n">
        <v>30</v>
      </c>
      <c r="E68" s="11" t="n">
        <v>1</v>
      </c>
      <c r="F68" s="12" t="n">
        <v>1000</v>
      </c>
      <c r="G68" s="11" t="s">
        <v>207</v>
      </c>
      <c r="H68" s="10"/>
      <c r="I68" s="10"/>
    </row>
    <row r="69" customFormat="false" ht="15" hidden="false" customHeight="false" outlineLevel="0" collapsed="false">
      <c r="A69" s="11" t="s">
        <v>332</v>
      </c>
      <c r="B69" s="11" t="s">
        <v>150</v>
      </c>
      <c r="C69" s="11" t="n">
        <v>3</v>
      </c>
      <c r="D69" s="12" t="n">
        <v>358.28</v>
      </c>
      <c r="E69" s="11" t="n">
        <v>1</v>
      </c>
      <c r="F69" s="12" t="n">
        <v>76</v>
      </c>
      <c r="G69" s="11" t="s">
        <v>210</v>
      </c>
      <c r="H69" s="10"/>
      <c r="I69" s="10"/>
    </row>
    <row r="70" customFormat="false" ht="15" hidden="false" customHeight="false" outlineLevel="0" collapsed="false">
      <c r="A70" s="11" t="s">
        <v>333</v>
      </c>
      <c r="B70" s="11" t="s">
        <v>334</v>
      </c>
      <c r="C70" s="11" t="n">
        <v>3</v>
      </c>
      <c r="D70" s="12" t="n">
        <v>4.5</v>
      </c>
      <c r="E70" s="11" t="n">
        <v>1</v>
      </c>
      <c r="F70" s="12" t="n">
        <v>1</v>
      </c>
      <c r="G70" s="11" t="s">
        <v>210</v>
      </c>
      <c r="H70" s="10"/>
      <c r="I70" s="10"/>
    </row>
    <row r="71" customFormat="false" ht="15" hidden="false" customHeight="false" outlineLevel="0" collapsed="false">
      <c r="A71" s="11" t="s">
        <v>335</v>
      </c>
      <c r="B71" s="11" t="s">
        <v>336</v>
      </c>
      <c r="C71" s="11" t="n">
        <v>3</v>
      </c>
      <c r="D71" s="12" t="n">
        <v>7.04</v>
      </c>
      <c r="E71" s="11" t="n">
        <v>1</v>
      </c>
      <c r="F71" s="12" t="n">
        <v>1</v>
      </c>
      <c r="G71" s="11" t="s">
        <v>210</v>
      </c>
      <c r="H71" s="10"/>
      <c r="I71" s="10"/>
    </row>
    <row r="72" customFormat="false" ht="15" hidden="false" customHeight="false" outlineLevel="0" collapsed="false">
      <c r="A72" s="11" t="s">
        <v>337</v>
      </c>
      <c r="B72" s="11" t="s">
        <v>338</v>
      </c>
      <c r="C72" s="11" t="n">
        <v>3</v>
      </c>
      <c r="D72" s="12" t="n">
        <v>196.62</v>
      </c>
      <c r="E72" s="11" t="n">
        <v>1</v>
      </c>
      <c r="F72" s="12" t="n">
        <v>50</v>
      </c>
      <c r="G72" s="11" t="s">
        <v>210</v>
      </c>
      <c r="H72" s="10"/>
      <c r="I72" s="10"/>
    </row>
    <row r="73" customFormat="false" ht="15" hidden="false" customHeight="false" outlineLevel="0" collapsed="false">
      <c r="A73" s="11" t="s">
        <v>339</v>
      </c>
      <c r="B73" s="11" t="s">
        <v>340</v>
      </c>
      <c r="C73" s="11" t="n">
        <v>3</v>
      </c>
      <c r="D73" s="12" t="n">
        <v>61</v>
      </c>
      <c r="E73" s="11" t="n">
        <v>1</v>
      </c>
      <c r="F73" s="12" t="n">
        <v>1000</v>
      </c>
      <c r="G73" s="11" t="s">
        <v>207</v>
      </c>
      <c r="H73" s="10"/>
      <c r="I73" s="10"/>
    </row>
    <row r="74" customFormat="false" ht="15" hidden="false" customHeight="false" outlineLevel="0" collapsed="false">
      <c r="A74" s="11" t="s">
        <v>341</v>
      </c>
      <c r="B74" s="11" t="s">
        <v>342</v>
      </c>
      <c r="C74" s="11" t="n">
        <v>3</v>
      </c>
      <c r="D74" s="12" t="n">
        <v>8.79</v>
      </c>
      <c r="E74" s="11" t="n">
        <v>1</v>
      </c>
      <c r="F74" s="12" t="n">
        <v>200</v>
      </c>
      <c r="G74" s="11" t="s">
        <v>207</v>
      </c>
      <c r="H74" s="10"/>
      <c r="I74" s="10"/>
    </row>
    <row r="75" customFormat="false" ht="15" hidden="false" customHeight="false" outlineLevel="0" collapsed="false">
      <c r="A75" s="11" t="s">
        <v>343</v>
      </c>
      <c r="B75" s="11" t="s">
        <v>344</v>
      </c>
      <c r="C75" s="11" t="n">
        <v>3</v>
      </c>
      <c r="D75" s="12" t="n">
        <v>1.44</v>
      </c>
      <c r="E75" s="11" t="n">
        <v>1</v>
      </c>
      <c r="F75" s="12" t="n">
        <v>1</v>
      </c>
      <c r="G75" s="11" t="s">
        <v>210</v>
      </c>
      <c r="H75" s="10"/>
      <c r="I75" s="10"/>
    </row>
    <row r="76" customFormat="false" ht="15" hidden="false" customHeight="false" outlineLevel="0" collapsed="false">
      <c r="A76" s="11" t="s">
        <v>345</v>
      </c>
      <c r="B76" s="11" t="s">
        <v>346</v>
      </c>
      <c r="C76" s="11" t="n">
        <v>3</v>
      </c>
      <c r="D76" s="12" t="n">
        <v>34.3</v>
      </c>
      <c r="E76" s="11" t="n">
        <v>1</v>
      </c>
      <c r="F76" s="12" t="n">
        <v>1000</v>
      </c>
      <c r="G76" s="11" t="s">
        <v>207</v>
      </c>
      <c r="H76" s="10"/>
      <c r="I76" s="10"/>
    </row>
    <row r="77" customFormat="false" ht="15" hidden="false" customHeight="false" outlineLevel="0" collapsed="false">
      <c r="A77" s="11" t="s">
        <v>347</v>
      </c>
      <c r="B77" s="11" t="s">
        <v>247</v>
      </c>
      <c r="C77" s="11" t="n">
        <v>3</v>
      </c>
      <c r="D77" s="12" t="n">
        <v>20</v>
      </c>
      <c r="E77" s="11" t="n">
        <v>1</v>
      </c>
      <c r="F77" s="12" t="n">
        <v>270</v>
      </c>
      <c r="G77" s="11" t="s">
        <v>207</v>
      </c>
      <c r="H77" s="10"/>
      <c r="I77" s="10"/>
    </row>
    <row r="78" customFormat="false" ht="15" hidden="false" customHeight="false" outlineLevel="0" collapsed="false">
      <c r="A78" s="11" t="s">
        <v>348</v>
      </c>
      <c r="B78" s="11" t="s">
        <v>349</v>
      </c>
      <c r="C78" s="11" t="n">
        <v>3</v>
      </c>
      <c r="D78" s="12" t="n">
        <v>238.7</v>
      </c>
      <c r="E78" s="11" t="n">
        <v>1</v>
      </c>
      <c r="F78" s="12" t="n">
        <v>2000</v>
      </c>
      <c r="G78" s="11" t="s">
        <v>210</v>
      </c>
      <c r="H78" s="10"/>
      <c r="I78" s="10"/>
    </row>
    <row r="79" customFormat="false" ht="15" hidden="false" customHeight="false" outlineLevel="0" collapsed="false">
      <c r="A79" s="11" t="s">
        <v>350</v>
      </c>
      <c r="B79" s="11" t="s">
        <v>351</v>
      </c>
      <c r="C79" s="11" t="n">
        <v>3</v>
      </c>
      <c r="D79" s="12" t="n">
        <v>35.145</v>
      </c>
      <c r="E79" s="11" t="n">
        <v>1</v>
      </c>
      <c r="F79" s="12" t="n">
        <v>1</v>
      </c>
      <c r="G79" s="11" t="s">
        <v>210</v>
      </c>
      <c r="H79" s="10"/>
      <c r="I79" s="10"/>
    </row>
    <row r="80" customFormat="false" ht="15" hidden="false" customHeight="false" outlineLevel="0" collapsed="false">
      <c r="A80" s="11" t="s">
        <v>352</v>
      </c>
      <c r="B80" s="11" t="s">
        <v>353</v>
      </c>
      <c r="C80" s="11" t="n">
        <v>3</v>
      </c>
      <c r="D80" s="12" t="n">
        <v>4.6461</v>
      </c>
      <c r="E80" s="11" t="n">
        <v>1</v>
      </c>
      <c r="F80" s="12" t="n">
        <v>110</v>
      </c>
      <c r="G80" s="11" t="s">
        <v>207</v>
      </c>
      <c r="H80" s="10"/>
      <c r="I80" s="10"/>
    </row>
    <row r="81" customFormat="false" ht="15" hidden="false" customHeight="false" outlineLevel="0" collapsed="false">
      <c r="A81" s="11" t="s">
        <v>354</v>
      </c>
      <c r="B81" s="11" t="s">
        <v>355</v>
      </c>
      <c r="C81" s="11" t="n">
        <v>3</v>
      </c>
      <c r="D81" s="12" t="n">
        <v>86.92</v>
      </c>
      <c r="E81" s="11" t="n">
        <v>1</v>
      </c>
      <c r="F81" s="12" t="n">
        <v>18</v>
      </c>
      <c r="G81" s="11" t="s">
        <v>210</v>
      </c>
      <c r="H81" s="10"/>
      <c r="I81" s="10"/>
    </row>
    <row r="82" customFormat="false" ht="15" hidden="false" customHeight="false" outlineLevel="0" collapsed="false">
      <c r="A82" s="11" t="s">
        <v>356</v>
      </c>
      <c r="B82" s="11" t="s">
        <v>357</v>
      </c>
      <c r="C82" s="11" t="n">
        <v>3</v>
      </c>
      <c r="D82" s="12" t="n">
        <v>17.9285714285714</v>
      </c>
      <c r="E82" s="11" t="n">
        <v>1</v>
      </c>
      <c r="F82" s="12" t="n">
        <v>200</v>
      </c>
      <c r="G82" s="11" t="s">
        <v>204</v>
      </c>
      <c r="H82" s="10"/>
      <c r="I82" s="10"/>
    </row>
    <row r="83" customFormat="false" ht="15" hidden="false" customHeight="false" outlineLevel="0" collapsed="false">
      <c r="A83" s="11" t="s">
        <v>358</v>
      </c>
      <c r="B83" s="11" t="s">
        <v>359</v>
      </c>
      <c r="C83" s="11" t="n">
        <v>3</v>
      </c>
      <c r="D83" s="12" t="n">
        <v>0</v>
      </c>
      <c r="E83" s="11" t="n">
        <v>1</v>
      </c>
      <c r="F83" s="12" t="n">
        <v>1</v>
      </c>
      <c r="G83" s="11" t="s">
        <v>210</v>
      </c>
      <c r="H83" s="10"/>
      <c r="I83" s="10"/>
    </row>
    <row r="84" customFormat="false" ht="15" hidden="false" customHeight="false" outlineLevel="0" collapsed="false">
      <c r="A84" s="13" t="s">
        <v>360</v>
      </c>
      <c r="B84" s="13" t="s">
        <v>273</v>
      </c>
      <c r="C84" s="13" t="n">
        <v>3</v>
      </c>
      <c r="D84" s="14" t="n">
        <v>0.1</v>
      </c>
      <c r="E84" s="13" t="n">
        <v>2</v>
      </c>
      <c r="F84" s="14" t="n">
        <v>1000</v>
      </c>
      <c r="G84" s="13" t="s">
        <v>207</v>
      </c>
      <c r="H84" s="10"/>
      <c r="I84" s="10"/>
    </row>
    <row r="85" customFormat="false" ht="15" hidden="false" customHeight="false" outlineLevel="0" collapsed="false">
      <c r="A85" s="11" t="s">
        <v>361</v>
      </c>
      <c r="B85" s="11" t="s">
        <v>362</v>
      </c>
      <c r="C85" s="11" t="n">
        <v>3</v>
      </c>
      <c r="D85" s="12" t="n">
        <v>0</v>
      </c>
      <c r="E85" s="11" t="n">
        <v>1</v>
      </c>
      <c r="F85" s="12" t="n">
        <v>1</v>
      </c>
      <c r="G85" s="11" t="s">
        <v>210</v>
      </c>
      <c r="H85" s="10"/>
      <c r="I85" s="10"/>
    </row>
    <row r="86" customFormat="false" ht="15" hidden="false" customHeight="false" outlineLevel="0" collapsed="false">
      <c r="A86" s="11" t="s">
        <v>363</v>
      </c>
      <c r="B86" s="11" t="s">
        <v>363</v>
      </c>
      <c r="C86" s="11" t="n">
        <v>3</v>
      </c>
      <c r="D86" s="12" t="n">
        <v>39</v>
      </c>
      <c r="E86" s="11" t="n">
        <v>1</v>
      </c>
      <c r="F86" s="12" t="n">
        <v>1000</v>
      </c>
      <c r="G86" s="11" t="s">
        <v>207</v>
      </c>
      <c r="H86" s="10"/>
      <c r="I86" s="10"/>
    </row>
    <row r="87" customFormat="false" ht="15" hidden="false" customHeight="false" outlineLevel="0" collapsed="false">
      <c r="A87" s="11" t="s">
        <v>364</v>
      </c>
      <c r="B87" s="11" t="s">
        <v>365</v>
      </c>
      <c r="C87" s="11" t="n">
        <v>3</v>
      </c>
      <c r="D87" s="12" t="n">
        <v>247.5</v>
      </c>
      <c r="E87" s="11" t="n">
        <v>1</v>
      </c>
      <c r="F87" s="12" t="n">
        <v>50</v>
      </c>
      <c r="G87" s="11" t="s">
        <v>210</v>
      </c>
      <c r="H87" s="10"/>
      <c r="I87" s="10"/>
    </row>
    <row r="88" customFormat="false" ht="15" hidden="false" customHeight="false" outlineLevel="0" collapsed="false">
      <c r="A88" s="11" t="s">
        <v>366</v>
      </c>
      <c r="B88" s="11" t="s">
        <v>367</v>
      </c>
      <c r="C88" s="11" t="n">
        <v>3</v>
      </c>
      <c r="D88" s="12" t="n">
        <v>47.925</v>
      </c>
      <c r="E88" s="11" t="n">
        <v>1</v>
      </c>
      <c r="F88" s="12" t="n">
        <v>1</v>
      </c>
      <c r="G88" s="11" t="s">
        <v>210</v>
      </c>
      <c r="H88" s="10"/>
      <c r="I88" s="10"/>
    </row>
    <row r="89" customFormat="false" ht="15" hidden="false" customHeight="false" outlineLevel="0" collapsed="false">
      <c r="A89" s="11" t="s">
        <v>320</v>
      </c>
      <c r="B89" s="11" t="s">
        <v>368</v>
      </c>
      <c r="C89" s="11" t="n">
        <v>3</v>
      </c>
      <c r="D89" s="12" t="n">
        <v>6</v>
      </c>
      <c r="E89" s="11" t="n">
        <v>1</v>
      </c>
      <c r="F89" s="12" t="n">
        <v>150</v>
      </c>
      <c r="G89" s="11" t="s">
        <v>207</v>
      </c>
      <c r="H89" s="10"/>
      <c r="I89" s="10"/>
    </row>
    <row r="90" customFormat="false" ht="15" hidden="false" customHeight="false" outlineLevel="0" collapsed="false">
      <c r="A90" s="11" t="s">
        <v>369</v>
      </c>
      <c r="B90" s="11" t="s">
        <v>370</v>
      </c>
      <c r="C90" s="11" t="n">
        <v>3</v>
      </c>
      <c r="D90" s="12" t="n">
        <v>25</v>
      </c>
      <c r="E90" s="11" t="n">
        <v>1</v>
      </c>
      <c r="F90" s="12" t="n">
        <v>1000</v>
      </c>
      <c r="G90" s="11" t="s">
        <v>207</v>
      </c>
      <c r="H90" s="10"/>
      <c r="I90" s="10"/>
    </row>
    <row r="91" customFormat="false" ht="15" hidden="false" customHeight="false" outlineLevel="0" collapsed="false">
      <c r="A91" s="13" t="s">
        <v>371</v>
      </c>
      <c r="B91" s="13" t="s">
        <v>372</v>
      </c>
      <c r="C91" s="13" t="n">
        <v>3</v>
      </c>
      <c r="D91" s="14" t="n">
        <v>85</v>
      </c>
      <c r="E91" s="13" t="n">
        <v>2</v>
      </c>
      <c r="F91" s="14" t="n">
        <v>100</v>
      </c>
      <c r="G91" s="13" t="s">
        <v>210</v>
      </c>
      <c r="H91" s="10"/>
      <c r="I91" s="10"/>
    </row>
    <row r="92" customFormat="false" ht="15" hidden="false" customHeight="false" outlineLevel="0" collapsed="false">
      <c r="A92" s="11" t="s">
        <v>373</v>
      </c>
      <c r="B92" s="11" t="s">
        <v>374</v>
      </c>
      <c r="C92" s="11" t="n">
        <v>3</v>
      </c>
      <c r="D92" s="12" t="n">
        <v>76.03</v>
      </c>
      <c r="E92" s="11" t="n">
        <v>1</v>
      </c>
      <c r="F92" s="12" t="n">
        <v>18</v>
      </c>
      <c r="G92" s="11" t="s">
        <v>210</v>
      </c>
      <c r="H92" s="10"/>
      <c r="I92" s="10"/>
    </row>
    <row r="93" customFormat="false" ht="15" hidden="false" customHeight="false" outlineLevel="0" collapsed="false">
      <c r="A93" s="11" t="s">
        <v>375</v>
      </c>
      <c r="B93" s="11" t="s">
        <v>376</v>
      </c>
      <c r="C93" s="11" t="n">
        <v>3</v>
      </c>
      <c r="D93" s="12" t="n">
        <v>19.9</v>
      </c>
      <c r="E93" s="11" t="n">
        <v>1</v>
      </c>
      <c r="F93" s="12" t="n">
        <v>1000</v>
      </c>
      <c r="G93" s="11" t="s">
        <v>207</v>
      </c>
      <c r="H93" s="10"/>
      <c r="I93" s="10"/>
    </row>
    <row r="94" customFormat="false" ht="15" hidden="false" customHeight="false" outlineLevel="0" collapsed="false">
      <c r="A94" s="11" t="s">
        <v>377</v>
      </c>
      <c r="B94" s="11" t="s">
        <v>377</v>
      </c>
      <c r="C94" s="11" t="n">
        <v>2</v>
      </c>
      <c r="D94" s="12" t="n">
        <v>1.5</v>
      </c>
      <c r="E94" s="11" t="n">
        <v>1</v>
      </c>
      <c r="F94" s="12" t="n">
        <v>1000</v>
      </c>
      <c r="G94" s="11" t="s">
        <v>207</v>
      </c>
      <c r="H94" s="10"/>
      <c r="I94" s="10"/>
    </row>
    <row r="95" customFormat="false" ht="15" hidden="false" customHeight="false" outlineLevel="0" collapsed="false">
      <c r="A95" s="11" t="s">
        <v>378</v>
      </c>
      <c r="B95" s="11" t="s">
        <v>379</v>
      </c>
      <c r="C95" s="11" t="n">
        <v>2</v>
      </c>
      <c r="D95" s="12" t="n">
        <v>130</v>
      </c>
      <c r="E95" s="11" t="n">
        <v>1</v>
      </c>
      <c r="F95" s="12" t="n">
        <v>1000</v>
      </c>
      <c r="G95" s="11" t="s">
        <v>207</v>
      </c>
      <c r="H95" s="10"/>
      <c r="I95" s="10"/>
    </row>
    <row r="96" customFormat="false" ht="15" hidden="false" customHeight="false" outlineLevel="0" collapsed="false">
      <c r="A96" s="11" t="s">
        <v>380</v>
      </c>
      <c r="B96" s="11" t="s">
        <v>381</v>
      </c>
      <c r="C96" s="11" t="n">
        <v>2</v>
      </c>
      <c r="D96" s="12" t="n">
        <v>8.1</v>
      </c>
      <c r="E96" s="11" t="n">
        <v>1</v>
      </c>
      <c r="F96" s="12" t="n">
        <v>1</v>
      </c>
      <c r="G96" s="11" t="s">
        <v>210</v>
      </c>
      <c r="H96" s="10"/>
      <c r="I96" s="10"/>
    </row>
    <row r="97" customFormat="false" ht="15" hidden="false" customHeight="false" outlineLevel="0" collapsed="false">
      <c r="A97" s="11" t="s">
        <v>382</v>
      </c>
      <c r="B97" s="11" t="s">
        <v>383</v>
      </c>
      <c r="C97" s="11" t="n">
        <v>2</v>
      </c>
      <c r="D97" s="12" t="n">
        <v>130</v>
      </c>
      <c r="E97" s="11" t="n">
        <v>1</v>
      </c>
      <c r="F97" s="12" t="n">
        <v>500</v>
      </c>
      <c r="G97" s="11" t="s">
        <v>210</v>
      </c>
      <c r="H97" s="10"/>
      <c r="I97" s="10"/>
    </row>
    <row r="98" customFormat="false" ht="15" hidden="false" customHeight="false" outlineLevel="0" collapsed="false">
      <c r="A98" s="11" t="s">
        <v>384</v>
      </c>
      <c r="B98" s="11" t="s">
        <v>385</v>
      </c>
      <c r="C98" s="11" t="n">
        <v>2</v>
      </c>
      <c r="D98" s="12" t="n">
        <v>22</v>
      </c>
      <c r="E98" s="11" t="n">
        <v>1</v>
      </c>
      <c r="F98" s="12" t="n">
        <v>500</v>
      </c>
      <c r="G98" s="11" t="s">
        <v>207</v>
      </c>
      <c r="H98" s="10"/>
      <c r="I98" s="10"/>
    </row>
    <row r="99" customFormat="false" ht="15" hidden="false" customHeight="false" outlineLevel="0" collapsed="false">
      <c r="A99" s="11" t="s">
        <v>386</v>
      </c>
      <c r="B99" s="11" t="s">
        <v>126</v>
      </c>
      <c r="C99" s="11" t="n">
        <v>2</v>
      </c>
      <c r="D99" s="12" t="n">
        <v>144.97</v>
      </c>
      <c r="E99" s="11" t="n">
        <v>1</v>
      </c>
      <c r="F99" s="12" t="n">
        <v>50</v>
      </c>
      <c r="G99" s="11" t="s">
        <v>210</v>
      </c>
      <c r="H99" s="10"/>
      <c r="I99" s="10"/>
    </row>
    <row r="100" customFormat="false" ht="15" hidden="false" customHeight="false" outlineLevel="0" collapsed="false">
      <c r="A100" s="11" t="s">
        <v>387</v>
      </c>
      <c r="B100" s="11" t="s">
        <v>388</v>
      </c>
      <c r="C100" s="11" t="n">
        <v>2</v>
      </c>
      <c r="D100" s="12" t="n">
        <v>302.4</v>
      </c>
      <c r="E100" s="11" t="n">
        <v>1</v>
      </c>
      <c r="F100" s="12" t="n">
        <v>1000</v>
      </c>
      <c r="G100" s="11" t="s">
        <v>207</v>
      </c>
      <c r="H100" s="10"/>
      <c r="I100" s="10"/>
    </row>
    <row r="101" customFormat="false" ht="15" hidden="false" customHeight="false" outlineLevel="0" collapsed="false">
      <c r="A101" s="13" t="s">
        <v>389</v>
      </c>
      <c r="B101" s="13" t="s">
        <v>377</v>
      </c>
      <c r="C101" s="13" t="n">
        <v>2</v>
      </c>
      <c r="D101" s="14" t="n">
        <v>1.5</v>
      </c>
      <c r="E101" s="13" t="n">
        <v>2</v>
      </c>
      <c r="F101" s="14" t="n">
        <v>1000</v>
      </c>
      <c r="G101" s="13" t="s">
        <v>207</v>
      </c>
      <c r="H101" s="10"/>
      <c r="I101" s="10"/>
    </row>
    <row r="102" customFormat="false" ht="15" hidden="false" customHeight="false" outlineLevel="0" collapsed="false">
      <c r="A102" s="11" t="s">
        <v>390</v>
      </c>
      <c r="B102" s="11" t="s">
        <v>391</v>
      </c>
      <c r="C102" s="11" t="n">
        <v>2</v>
      </c>
      <c r="D102" s="12" t="n">
        <v>88</v>
      </c>
      <c r="E102" s="11" t="n">
        <v>1</v>
      </c>
      <c r="F102" s="12" t="n">
        <v>1000</v>
      </c>
      <c r="G102" s="11" t="s">
        <v>204</v>
      </c>
      <c r="H102" s="10"/>
      <c r="I102" s="10"/>
    </row>
    <row r="103" customFormat="false" ht="15" hidden="false" customHeight="false" outlineLevel="0" collapsed="false">
      <c r="A103" s="11" t="s">
        <v>392</v>
      </c>
      <c r="B103" s="11" t="s">
        <v>393</v>
      </c>
      <c r="C103" s="11" t="n">
        <v>2</v>
      </c>
      <c r="D103" s="12" t="n">
        <v>2.52</v>
      </c>
      <c r="E103" s="11" t="n">
        <v>1</v>
      </c>
      <c r="F103" s="12" t="n">
        <v>350</v>
      </c>
      <c r="G103" s="11" t="s">
        <v>204</v>
      </c>
      <c r="H103" s="10"/>
      <c r="I103" s="10"/>
    </row>
    <row r="104" customFormat="false" ht="15" hidden="false" customHeight="false" outlineLevel="0" collapsed="false">
      <c r="A104" s="11" t="s">
        <v>394</v>
      </c>
      <c r="B104" s="11" t="s">
        <v>395</v>
      </c>
      <c r="C104" s="11" t="n">
        <v>2</v>
      </c>
      <c r="D104" s="12" t="n">
        <v>9.98</v>
      </c>
      <c r="E104" s="11" t="n">
        <v>1</v>
      </c>
      <c r="F104" s="12" t="n">
        <v>1000</v>
      </c>
      <c r="G104" s="11" t="s">
        <v>207</v>
      </c>
      <c r="H104" s="10"/>
      <c r="I104" s="10"/>
    </row>
    <row r="105" customFormat="false" ht="15" hidden="false" customHeight="false" outlineLevel="0" collapsed="false">
      <c r="A105" s="11" t="s">
        <v>396</v>
      </c>
      <c r="B105" s="11" t="s">
        <v>397</v>
      </c>
      <c r="C105" s="11" t="n">
        <v>2</v>
      </c>
      <c r="D105" s="12" t="n">
        <v>20</v>
      </c>
      <c r="E105" s="11" t="n">
        <v>1</v>
      </c>
      <c r="F105" s="12" t="n">
        <v>1000</v>
      </c>
      <c r="G105" s="11" t="s">
        <v>207</v>
      </c>
      <c r="H105" s="10"/>
      <c r="I105" s="10"/>
    </row>
    <row r="106" customFormat="false" ht="23.85" hidden="false" customHeight="false" outlineLevel="0" collapsed="false">
      <c r="A106" s="11" t="s">
        <v>398</v>
      </c>
      <c r="B106" s="11" t="s">
        <v>399</v>
      </c>
      <c r="C106" s="11" t="n">
        <v>2</v>
      </c>
      <c r="D106" s="12" t="n">
        <v>80</v>
      </c>
      <c r="E106" s="11" t="n">
        <v>1</v>
      </c>
      <c r="F106" s="12" t="n">
        <v>1200</v>
      </c>
      <c r="G106" s="11" t="s">
        <v>207</v>
      </c>
      <c r="H106" s="10"/>
      <c r="I106" s="10"/>
    </row>
    <row r="107" customFormat="false" ht="15" hidden="false" customHeight="false" outlineLevel="0" collapsed="false">
      <c r="A107" s="11" t="s">
        <v>400</v>
      </c>
      <c r="B107" s="11" t="s">
        <v>401</v>
      </c>
      <c r="C107" s="11" t="n">
        <v>2</v>
      </c>
      <c r="D107" s="12" t="n">
        <v>19.99</v>
      </c>
      <c r="E107" s="11" t="n">
        <v>1</v>
      </c>
      <c r="F107" s="12" t="n">
        <v>150</v>
      </c>
      <c r="G107" s="11" t="s">
        <v>207</v>
      </c>
      <c r="H107" s="10"/>
      <c r="I107" s="10"/>
    </row>
    <row r="108" customFormat="false" ht="15" hidden="false" customHeight="false" outlineLevel="0" collapsed="false">
      <c r="A108" s="11" t="s">
        <v>402</v>
      </c>
      <c r="B108" s="11" t="s">
        <v>403</v>
      </c>
      <c r="C108" s="11" t="n">
        <v>2</v>
      </c>
      <c r="D108" s="12" t="n">
        <v>23.7</v>
      </c>
      <c r="E108" s="11" t="n">
        <v>1</v>
      </c>
      <c r="F108" s="12" t="n">
        <v>250</v>
      </c>
      <c r="G108" s="11" t="s">
        <v>207</v>
      </c>
      <c r="H108" s="10"/>
      <c r="I108" s="10"/>
    </row>
    <row r="109" customFormat="false" ht="15" hidden="false" customHeight="false" outlineLevel="0" collapsed="false">
      <c r="A109" s="11" t="s">
        <v>404</v>
      </c>
      <c r="B109" s="11" t="s">
        <v>340</v>
      </c>
      <c r="C109" s="11" t="n">
        <v>2</v>
      </c>
      <c r="D109" s="12" t="n">
        <v>61</v>
      </c>
      <c r="E109" s="11" t="n">
        <v>1</v>
      </c>
      <c r="F109" s="12" t="n">
        <v>1000</v>
      </c>
      <c r="G109" s="11" t="s">
        <v>207</v>
      </c>
      <c r="H109" s="10"/>
      <c r="I109" s="10"/>
    </row>
    <row r="110" customFormat="false" ht="15" hidden="false" customHeight="false" outlineLevel="0" collapsed="false">
      <c r="A110" s="11" t="s">
        <v>405</v>
      </c>
      <c r="B110" s="11" t="s">
        <v>406</v>
      </c>
      <c r="C110" s="11" t="n">
        <v>2</v>
      </c>
      <c r="D110" s="12" t="n">
        <v>48</v>
      </c>
      <c r="E110" s="11" t="n">
        <v>1</v>
      </c>
      <c r="F110" s="12" t="n">
        <v>1000</v>
      </c>
      <c r="G110" s="11" t="s">
        <v>207</v>
      </c>
      <c r="H110" s="10"/>
      <c r="I110" s="10"/>
    </row>
    <row r="111" customFormat="false" ht="15" hidden="false" customHeight="false" outlineLevel="0" collapsed="false">
      <c r="A111" s="11" t="s">
        <v>407</v>
      </c>
      <c r="B111" s="11" t="s">
        <v>408</v>
      </c>
      <c r="C111" s="11" t="n">
        <v>2</v>
      </c>
      <c r="D111" s="12" t="n">
        <v>4.56</v>
      </c>
      <c r="E111" s="11" t="n">
        <v>1</v>
      </c>
      <c r="F111" s="12" t="n">
        <v>50</v>
      </c>
      <c r="G111" s="11" t="s">
        <v>207</v>
      </c>
      <c r="H111" s="10"/>
      <c r="I111" s="10"/>
    </row>
    <row r="112" customFormat="false" ht="15" hidden="false" customHeight="false" outlineLevel="0" collapsed="false">
      <c r="A112" s="11" t="s">
        <v>389</v>
      </c>
      <c r="B112" s="11" t="s">
        <v>409</v>
      </c>
      <c r="C112" s="11" t="n">
        <v>2</v>
      </c>
      <c r="D112" s="12" t="n">
        <v>1.5</v>
      </c>
      <c r="E112" s="11" t="n">
        <v>1</v>
      </c>
      <c r="F112" s="12" t="n">
        <v>1000</v>
      </c>
      <c r="G112" s="11" t="s">
        <v>207</v>
      </c>
      <c r="H112" s="10"/>
      <c r="I112" s="10"/>
    </row>
    <row r="113" customFormat="false" ht="15" hidden="false" customHeight="false" outlineLevel="0" collapsed="false">
      <c r="A113" s="11" t="s">
        <v>352</v>
      </c>
      <c r="B113" s="11" t="s">
        <v>410</v>
      </c>
      <c r="C113" s="11" t="n">
        <v>2</v>
      </c>
      <c r="D113" s="12" t="n">
        <v>4.6461</v>
      </c>
      <c r="E113" s="11" t="n">
        <v>1</v>
      </c>
      <c r="F113" s="12" t="n">
        <v>110</v>
      </c>
      <c r="G113" s="11" t="s">
        <v>207</v>
      </c>
      <c r="H113" s="10"/>
      <c r="I113" s="10"/>
    </row>
    <row r="114" customFormat="false" ht="15" hidden="false" customHeight="false" outlineLevel="0" collapsed="false">
      <c r="A114" s="11" t="s">
        <v>411</v>
      </c>
      <c r="B114" s="11" t="s">
        <v>412</v>
      </c>
      <c r="C114" s="11" t="n">
        <v>2</v>
      </c>
      <c r="D114" s="12" t="n">
        <v>5.491</v>
      </c>
      <c r="E114" s="11" t="n">
        <v>1</v>
      </c>
      <c r="F114" s="12" t="n">
        <v>130</v>
      </c>
      <c r="G114" s="11" t="s">
        <v>207</v>
      </c>
      <c r="H114" s="10"/>
      <c r="I114" s="10"/>
    </row>
    <row r="115" customFormat="false" ht="15" hidden="false" customHeight="false" outlineLevel="0" collapsed="false">
      <c r="A115" s="11" t="s">
        <v>413</v>
      </c>
      <c r="B115" s="11" t="s">
        <v>414</v>
      </c>
      <c r="C115" s="11" t="n">
        <v>2</v>
      </c>
      <c r="D115" s="12" t="n">
        <v>20.9</v>
      </c>
      <c r="E115" s="11" t="n">
        <v>1</v>
      </c>
      <c r="F115" s="12" t="n">
        <v>500</v>
      </c>
      <c r="G115" s="11" t="s">
        <v>207</v>
      </c>
      <c r="H115" s="10"/>
      <c r="I115" s="10"/>
    </row>
    <row r="116" customFormat="false" ht="15" hidden="false" customHeight="false" outlineLevel="0" collapsed="false">
      <c r="A116" s="11" t="s">
        <v>415</v>
      </c>
      <c r="B116" s="11" t="s">
        <v>416</v>
      </c>
      <c r="C116" s="11" t="n">
        <v>2</v>
      </c>
      <c r="D116" s="12" t="n">
        <v>1.064</v>
      </c>
      <c r="E116" s="11" t="n">
        <v>1</v>
      </c>
      <c r="F116" s="12" t="n">
        <v>1</v>
      </c>
      <c r="G116" s="11" t="s">
        <v>210</v>
      </c>
      <c r="H116" s="10"/>
      <c r="I116" s="10"/>
    </row>
    <row r="117" customFormat="false" ht="15" hidden="false" customHeight="false" outlineLevel="0" collapsed="false">
      <c r="A117" s="11" t="s">
        <v>417</v>
      </c>
      <c r="B117" s="11" t="s">
        <v>418</v>
      </c>
      <c r="C117" s="11" t="n">
        <v>2</v>
      </c>
      <c r="D117" s="12" t="n">
        <v>1.64</v>
      </c>
      <c r="E117" s="11" t="n">
        <v>1</v>
      </c>
      <c r="F117" s="12" t="n">
        <v>200</v>
      </c>
      <c r="G117" s="11" t="s">
        <v>207</v>
      </c>
      <c r="H117" s="10"/>
      <c r="I117" s="10"/>
    </row>
    <row r="118" customFormat="false" ht="15" hidden="false" customHeight="false" outlineLevel="0" collapsed="false">
      <c r="A118" s="11" t="s">
        <v>341</v>
      </c>
      <c r="B118" s="11" t="s">
        <v>419</v>
      </c>
      <c r="C118" s="11" t="n">
        <v>2</v>
      </c>
      <c r="D118" s="12" t="n">
        <v>8.79</v>
      </c>
      <c r="E118" s="11" t="n">
        <v>1</v>
      </c>
      <c r="F118" s="12" t="n">
        <v>200</v>
      </c>
      <c r="G118" s="11" t="s">
        <v>207</v>
      </c>
      <c r="H118" s="10"/>
      <c r="I118" s="10"/>
    </row>
    <row r="119" customFormat="false" ht="15" hidden="false" customHeight="false" outlineLevel="0" collapsed="false">
      <c r="A119" s="11" t="s">
        <v>278</v>
      </c>
      <c r="B119" s="11" t="s">
        <v>420</v>
      </c>
      <c r="C119" s="11" t="n">
        <v>2</v>
      </c>
      <c r="D119" s="12" t="n">
        <v>38</v>
      </c>
      <c r="E119" s="11" t="n">
        <v>1</v>
      </c>
      <c r="F119" s="12" t="n">
        <v>1000</v>
      </c>
      <c r="G119" s="11" t="s">
        <v>207</v>
      </c>
      <c r="H119" s="10"/>
      <c r="I119" s="10"/>
    </row>
    <row r="120" customFormat="false" ht="15" hidden="false" customHeight="false" outlineLevel="0" collapsed="false">
      <c r="A120" s="11" t="s">
        <v>421</v>
      </c>
      <c r="B120" s="11" t="s">
        <v>422</v>
      </c>
      <c r="C120" s="11" t="n">
        <v>2</v>
      </c>
      <c r="D120" s="12" t="n">
        <v>50</v>
      </c>
      <c r="E120" s="11" t="n">
        <v>1</v>
      </c>
      <c r="F120" s="12" t="n">
        <v>1000</v>
      </c>
      <c r="G120" s="11" t="s">
        <v>207</v>
      </c>
      <c r="H120" s="10"/>
      <c r="I120" s="10"/>
    </row>
    <row r="121" customFormat="false" ht="15" hidden="false" customHeight="false" outlineLevel="0" collapsed="false">
      <c r="A121" s="13" t="s">
        <v>423</v>
      </c>
      <c r="B121" s="13" t="s">
        <v>424</v>
      </c>
      <c r="C121" s="13" t="n">
        <v>2</v>
      </c>
      <c r="D121" s="14" t="n">
        <v>4.9</v>
      </c>
      <c r="E121" s="13" t="n">
        <v>2</v>
      </c>
      <c r="F121" s="14" t="n">
        <v>1000</v>
      </c>
      <c r="G121" s="13" t="s">
        <v>207</v>
      </c>
      <c r="H121" s="10"/>
      <c r="I121" s="10"/>
    </row>
    <row r="122" customFormat="false" ht="15" hidden="false" customHeight="false" outlineLevel="0" collapsed="false">
      <c r="A122" s="11" t="s">
        <v>423</v>
      </c>
      <c r="B122" s="11" t="s">
        <v>425</v>
      </c>
      <c r="C122" s="11" t="n">
        <v>2</v>
      </c>
      <c r="D122" s="12" t="n">
        <v>4.8</v>
      </c>
      <c r="E122" s="11" t="n">
        <v>1</v>
      </c>
      <c r="F122" s="12" t="n">
        <v>1000</v>
      </c>
      <c r="G122" s="11" t="s">
        <v>207</v>
      </c>
      <c r="H122" s="10"/>
      <c r="I122" s="10"/>
    </row>
    <row r="123" customFormat="false" ht="15" hidden="false" customHeight="false" outlineLevel="0" collapsed="false">
      <c r="A123" s="11" t="s">
        <v>426</v>
      </c>
      <c r="B123" s="11" t="s">
        <v>427</v>
      </c>
      <c r="C123" s="11" t="n">
        <v>2</v>
      </c>
      <c r="D123" s="12" t="n">
        <v>15.9</v>
      </c>
      <c r="E123" s="11" t="n">
        <v>1</v>
      </c>
      <c r="F123" s="12" t="n">
        <v>50</v>
      </c>
      <c r="G123" s="11" t="s">
        <v>210</v>
      </c>
      <c r="H123" s="10"/>
      <c r="I123" s="10"/>
    </row>
    <row r="124" customFormat="false" ht="15" hidden="false" customHeight="false" outlineLevel="0" collapsed="false">
      <c r="A124" s="11" t="s">
        <v>428</v>
      </c>
      <c r="B124" s="11" t="s">
        <v>429</v>
      </c>
      <c r="C124" s="11" t="n">
        <v>2</v>
      </c>
      <c r="D124" s="12" t="n">
        <v>90</v>
      </c>
      <c r="E124" s="11" t="n">
        <v>1</v>
      </c>
      <c r="F124" s="12" t="n">
        <v>1000</v>
      </c>
      <c r="G124" s="11" t="s">
        <v>207</v>
      </c>
      <c r="H124" s="10"/>
      <c r="I124" s="10"/>
    </row>
    <row r="125" customFormat="false" ht="15" hidden="false" customHeight="false" outlineLevel="0" collapsed="false">
      <c r="A125" s="11" t="s">
        <v>430</v>
      </c>
      <c r="B125" s="11" t="s">
        <v>431</v>
      </c>
      <c r="C125" s="11" t="n">
        <v>2</v>
      </c>
      <c r="D125" s="12" t="n">
        <v>30</v>
      </c>
      <c r="E125" s="11" t="n">
        <v>1</v>
      </c>
      <c r="F125" s="12" t="n">
        <v>500</v>
      </c>
      <c r="G125" s="11" t="s">
        <v>207</v>
      </c>
      <c r="H125" s="10"/>
      <c r="I125" s="10"/>
    </row>
    <row r="126" customFormat="false" ht="15" hidden="false" customHeight="false" outlineLevel="0" collapsed="false">
      <c r="A126" s="11" t="s">
        <v>432</v>
      </c>
      <c r="B126" s="11" t="s">
        <v>433</v>
      </c>
      <c r="C126" s="11" t="n">
        <v>2</v>
      </c>
      <c r="D126" s="12" t="n">
        <v>8</v>
      </c>
      <c r="E126" s="11" t="n">
        <v>1</v>
      </c>
      <c r="F126" s="12" t="n">
        <v>1000</v>
      </c>
      <c r="G126" s="11" t="s">
        <v>204</v>
      </c>
      <c r="H126" s="10"/>
      <c r="I126" s="10"/>
    </row>
    <row r="127" customFormat="false" ht="15" hidden="false" customHeight="false" outlineLevel="0" collapsed="false">
      <c r="A127" s="11" t="s">
        <v>434</v>
      </c>
      <c r="B127" s="11" t="s">
        <v>435</v>
      </c>
      <c r="C127" s="11" t="n">
        <v>2</v>
      </c>
      <c r="D127" s="12" t="n">
        <v>34.6125</v>
      </c>
      <c r="E127" s="11" t="n">
        <v>1</v>
      </c>
      <c r="F127" s="12" t="n">
        <v>1</v>
      </c>
      <c r="G127" s="11" t="s">
        <v>210</v>
      </c>
      <c r="H127" s="10"/>
      <c r="I127" s="10"/>
    </row>
    <row r="128" customFormat="false" ht="15" hidden="false" customHeight="false" outlineLevel="0" collapsed="false">
      <c r="A128" s="11" t="s">
        <v>436</v>
      </c>
      <c r="B128" s="11" t="s">
        <v>437</v>
      </c>
      <c r="C128" s="11" t="n">
        <v>2</v>
      </c>
      <c r="D128" s="12" t="n">
        <v>37.2</v>
      </c>
      <c r="E128" s="11" t="n">
        <v>1</v>
      </c>
      <c r="F128" s="12" t="n">
        <v>1010</v>
      </c>
      <c r="G128" s="11" t="s">
        <v>207</v>
      </c>
      <c r="H128" s="10"/>
      <c r="I128" s="10"/>
    </row>
    <row r="129" customFormat="false" ht="15" hidden="false" customHeight="false" outlineLevel="0" collapsed="false">
      <c r="A129" s="11" t="s">
        <v>290</v>
      </c>
      <c r="B129" s="11" t="s">
        <v>290</v>
      </c>
      <c r="C129" s="11" t="n">
        <v>2</v>
      </c>
      <c r="D129" s="12" t="n">
        <v>27</v>
      </c>
      <c r="E129" s="11" t="n">
        <v>1</v>
      </c>
      <c r="F129" s="12" t="n">
        <v>30</v>
      </c>
      <c r="G129" s="11" t="s">
        <v>210</v>
      </c>
      <c r="H129" s="10"/>
      <c r="I129" s="10"/>
    </row>
    <row r="130" customFormat="false" ht="15" hidden="false" customHeight="false" outlineLevel="0" collapsed="false">
      <c r="A130" s="11" t="s">
        <v>438</v>
      </c>
      <c r="B130" s="11" t="s">
        <v>439</v>
      </c>
      <c r="C130" s="11" t="n">
        <v>2</v>
      </c>
      <c r="D130" s="12" t="n">
        <v>55</v>
      </c>
      <c r="E130" s="11" t="n">
        <v>1</v>
      </c>
      <c r="F130" s="12" t="n">
        <v>50</v>
      </c>
      <c r="G130" s="11" t="s">
        <v>210</v>
      </c>
      <c r="H130" s="10"/>
      <c r="I130" s="10"/>
    </row>
    <row r="131" customFormat="false" ht="15" hidden="false" customHeight="false" outlineLevel="0" collapsed="false">
      <c r="A131" s="11" t="s">
        <v>440</v>
      </c>
      <c r="B131" s="11" t="s">
        <v>441</v>
      </c>
      <c r="C131" s="11" t="n">
        <v>2</v>
      </c>
      <c r="D131" s="12" t="n">
        <v>39.9</v>
      </c>
      <c r="E131" s="11" t="n">
        <v>1</v>
      </c>
      <c r="F131" s="12" t="n">
        <v>1000</v>
      </c>
      <c r="G131" s="11" t="s">
        <v>207</v>
      </c>
      <c r="H131" s="10"/>
      <c r="I131" s="10"/>
    </row>
    <row r="132" customFormat="false" ht="15" hidden="false" customHeight="false" outlineLevel="0" collapsed="false">
      <c r="A132" s="11" t="s">
        <v>442</v>
      </c>
      <c r="B132" s="11" t="s">
        <v>443</v>
      </c>
      <c r="C132" s="11" t="n">
        <v>2</v>
      </c>
      <c r="D132" s="12" t="n">
        <v>4.98</v>
      </c>
      <c r="E132" s="11" t="n">
        <v>1</v>
      </c>
      <c r="F132" s="12" t="n">
        <v>1000</v>
      </c>
      <c r="G132" s="11" t="s">
        <v>207</v>
      </c>
      <c r="H132" s="10"/>
      <c r="I132" s="10"/>
    </row>
    <row r="133" customFormat="false" ht="15" hidden="false" customHeight="false" outlineLevel="0" collapsed="false">
      <c r="A133" s="11" t="s">
        <v>444</v>
      </c>
      <c r="B133" s="11" t="s">
        <v>445</v>
      </c>
      <c r="C133" s="11" t="n">
        <v>2</v>
      </c>
      <c r="D133" s="12" t="n">
        <v>36</v>
      </c>
      <c r="E133" s="11" t="n">
        <v>1</v>
      </c>
      <c r="F133" s="12" t="n">
        <v>12</v>
      </c>
      <c r="G133" s="11" t="s">
        <v>210</v>
      </c>
      <c r="H133" s="10"/>
      <c r="I133" s="10"/>
    </row>
    <row r="134" customFormat="false" ht="15" hidden="false" customHeight="false" outlineLevel="0" collapsed="false">
      <c r="A134" s="11" t="s">
        <v>446</v>
      </c>
      <c r="B134" s="11" t="s">
        <v>447</v>
      </c>
      <c r="C134" s="11" t="n">
        <v>2</v>
      </c>
      <c r="D134" s="12" t="n">
        <v>1.5</v>
      </c>
      <c r="E134" s="11" t="n">
        <v>1</v>
      </c>
      <c r="F134" s="12" t="n">
        <v>1</v>
      </c>
      <c r="G134" s="11" t="s">
        <v>210</v>
      </c>
      <c r="H134" s="10"/>
      <c r="I134" s="10"/>
    </row>
    <row r="135" customFormat="false" ht="15" hidden="false" customHeight="false" outlineLevel="0" collapsed="false">
      <c r="A135" s="11" t="s">
        <v>448</v>
      </c>
      <c r="B135" s="11" t="s">
        <v>449</v>
      </c>
      <c r="C135" s="11" t="n">
        <v>2</v>
      </c>
      <c r="D135" s="12" t="n">
        <v>39</v>
      </c>
      <c r="E135" s="11" t="n">
        <v>1</v>
      </c>
      <c r="F135" s="12" t="n">
        <v>1000</v>
      </c>
      <c r="G135" s="11" t="s">
        <v>207</v>
      </c>
      <c r="H135" s="10"/>
      <c r="I135" s="10"/>
    </row>
    <row r="136" customFormat="false" ht="15" hidden="false" customHeight="false" outlineLevel="0" collapsed="false">
      <c r="A136" s="11" t="s">
        <v>246</v>
      </c>
      <c r="B136" s="11" t="s">
        <v>450</v>
      </c>
      <c r="C136" s="11" t="n">
        <v>2</v>
      </c>
      <c r="D136" s="12" t="n">
        <v>20</v>
      </c>
      <c r="E136" s="11" t="n">
        <v>1</v>
      </c>
      <c r="F136" s="12" t="n">
        <v>270</v>
      </c>
      <c r="G136" s="11" t="s">
        <v>207</v>
      </c>
      <c r="H136" s="10"/>
      <c r="I136" s="10"/>
    </row>
    <row r="137" customFormat="false" ht="15" hidden="false" customHeight="false" outlineLevel="0" collapsed="false">
      <c r="A137" s="11" t="s">
        <v>451</v>
      </c>
      <c r="B137" s="11" t="s">
        <v>452</v>
      </c>
      <c r="C137" s="11" t="n">
        <v>2</v>
      </c>
      <c r="D137" s="12" t="n">
        <v>23.145</v>
      </c>
      <c r="E137" s="11" t="n">
        <v>1</v>
      </c>
      <c r="F137" s="12" t="n">
        <v>850</v>
      </c>
      <c r="G137" s="11" t="s">
        <v>207</v>
      </c>
      <c r="H137" s="10"/>
      <c r="I137" s="10"/>
    </row>
    <row r="138" customFormat="false" ht="15" hidden="false" customHeight="false" outlineLevel="0" collapsed="false">
      <c r="A138" s="11" t="s">
        <v>453</v>
      </c>
      <c r="B138" s="11" t="s">
        <v>275</v>
      </c>
      <c r="C138" s="11" t="n">
        <v>2</v>
      </c>
      <c r="D138" s="12" t="n">
        <v>12</v>
      </c>
      <c r="E138" s="11" t="n">
        <v>1</v>
      </c>
      <c r="F138" s="12" t="n">
        <v>120</v>
      </c>
      <c r="G138" s="11" t="s">
        <v>207</v>
      </c>
      <c r="H138" s="10"/>
      <c r="I138" s="10"/>
    </row>
    <row r="139" customFormat="false" ht="15" hidden="false" customHeight="false" outlineLevel="0" collapsed="false">
      <c r="A139" s="11" t="s">
        <v>454</v>
      </c>
      <c r="B139" s="11" t="s">
        <v>291</v>
      </c>
      <c r="C139" s="11" t="n">
        <v>2</v>
      </c>
      <c r="D139" s="12" t="n">
        <v>14</v>
      </c>
      <c r="E139" s="11" t="n">
        <v>1</v>
      </c>
      <c r="F139" s="12" t="n">
        <v>200</v>
      </c>
      <c r="G139" s="11" t="s">
        <v>207</v>
      </c>
      <c r="H139" s="10"/>
      <c r="I139" s="10"/>
    </row>
    <row r="140" customFormat="false" ht="15" hidden="false" customHeight="false" outlineLevel="0" collapsed="false">
      <c r="A140" s="11" t="s">
        <v>454</v>
      </c>
      <c r="B140" s="11" t="s">
        <v>455</v>
      </c>
      <c r="C140" s="11" t="n">
        <v>2</v>
      </c>
      <c r="D140" s="12" t="n">
        <v>14</v>
      </c>
      <c r="E140" s="11" t="n">
        <v>1</v>
      </c>
      <c r="F140" s="12" t="n">
        <v>200</v>
      </c>
      <c r="G140" s="11" t="s">
        <v>207</v>
      </c>
      <c r="H140" s="10"/>
      <c r="I140" s="10"/>
    </row>
    <row r="141" customFormat="false" ht="15" hidden="false" customHeight="false" outlineLevel="0" collapsed="false">
      <c r="A141" s="11" t="s">
        <v>456</v>
      </c>
      <c r="B141" s="11" t="s">
        <v>457</v>
      </c>
      <c r="C141" s="11" t="n">
        <v>2</v>
      </c>
      <c r="D141" s="12" t="n">
        <v>30</v>
      </c>
      <c r="E141" s="11" t="n">
        <v>1</v>
      </c>
      <c r="F141" s="12" t="n">
        <v>1000</v>
      </c>
      <c r="G141" s="11" t="s">
        <v>207</v>
      </c>
      <c r="H141" s="10"/>
      <c r="I141" s="10"/>
    </row>
    <row r="142" customFormat="false" ht="15" hidden="false" customHeight="false" outlineLevel="0" collapsed="false">
      <c r="A142" s="11" t="s">
        <v>458</v>
      </c>
      <c r="B142" s="11" t="s">
        <v>459</v>
      </c>
      <c r="C142" s="11" t="n">
        <v>2</v>
      </c>
      <c r="D142" s="12" t="n">
        <v>20</v>
      </c>
      <c r="E142" s="11" t="n">
        <v>1</v>
      </c>
      <c r="F142" s="12" t="n">
        <v>100</v>
      </c>
      <c r="G142" s="11" t="s">
        <v>204</v>
      </c>
      <c r="H142" s="10"/>
      <c r="I142" s="10"/>
    </row>
    <row r="143" customFormat="false" ht="15" hidden="false" customHeight="false" outlineLevel="0" collapsed="false">
      <c r="A143" s="13" t="s">
        <v>458</v>
      </c>
      <c r="B143" s="13" t="s">
        <v>460</v>
      </c>
      <c r="C143" s="13" t="n">
        <v>2</v>
      </c>
      <c r="D143" s="14" t="n">
        <v>20</v>
      </c>
      <c r="E143" s="13" t="n">
        <v>2</v>
      </c>
      <c r="F143" s="14" t="n">
        <v>100</v>
      </c>
      <c r="G143" s="13" t="s">
        <v>204</v>
      </c>
      <c r="H143" s="10"/>
      <c r="I143" s="10"/>
    </row>
    <row r="144" customFormat="false" ht="15" hidden="false" customHeight="false" outlineLevel="0" collapsed="false">
      <c r="A144" s="11" t="s">
        <v>461</v>
      </c>
      <c r="B144" s="11" t="s">
        <v>462</v>
      </c>
      <c r="C144" s="11" t="n">
        <v>2</v>
      </c>
      <c r="D144" s="12" t="n">
        <v>132</v>
      </c>
      <c r="E144" s="11" t="n">
        <v>1</v>
      </c>
      <c r="F144" s="12" t="n">
        <v>200</v>
      </c>
      <c r="G144" s="11" t="s">
        <v>210</v>
      </c>
      <c r="H144" s="10"/>
      <c r="I144" s="10"/>
    </row>
    <row r="145" customFormat="false" ht="15" hidden="false" customHeight="false" outlineLevel="0" collapsed="false">
      <c r="A145" s="11" t="s">
        <v>463</v>
      </c>
      <c r="B145" s="11" t="s">
        <v>464</v>
      </c>
      <c r="C145" s="11" t="n">
        <v>2</v>
      </c>
      <c r="D145" s="12" t="n">
        <v>50</v>
      </c>
      <c r="E145" s="11" t="n">
        <v>1</v>
      </c>
      <c r="F145" s="12" t="n">
        <v>1000</v>
      </c>
      <c r="G145" s="11" t="s">
        <v>207</v>
      </c>
      <c r="H145" s="10"/>
      <c r="I145" s="10"/>
    </row>
    <row r="146" customFormat="false" ht="15" hidden="false" customHeight="false" outlineLevel="0" collapsed="false">
      <c r="A146" s="11" t="s">
        <v>463</v>
      </c>
      <c r="B146" s="11" t="s">
        <v>465</v>
      </c>
      <c r="C146" s="11" t="n">
        <v>2</v>
      </c>
      <c r="D146" s="12" t="n">
        <v>50</v>
      </c>
      <c r="E146" s="11" t="n">
        <v>1</v>
      </c>
      <c r="F146" s="12" t="n">
        <v>1000</v>
      </c>
      <c r="G146" s="11" t="s">
        <v>207</v>
      </c>
      <c r="H146" s="10"/>
      <c r="I146" s="10"/>
    </row>
    <row r="147" customFormat="false" ht="15" hidden="false" customHeight="false" outlineLevel="0" collapsed="false">
      <c r="A147" s="11" t="s">
        <v>466</v>
      </c>
      <c r="B147" s="11" t="s">
        <v>466</v>
      </c>
      <c r="C147" s="11" t="n">
        <v>1</v>
      </c>
      <c r="D147" s="12" t="n">
        <v>5.59</v>
      </c>
      <c r="E147" s="11" t="n">
        <v>1</v>
      </c>
      <c r="F147" s="12" t="n">
        <v>30</v>
      </c>
      <c r="G147" s="11" t="s">
        <v>207</v>
      </c>
      <c r="H147" s="10"/>
      <c r="I147" s="10"/>
    </row>
    <row r="148" customFormat="false" ht="15" hidden="false" customHeight="false" outlineLevel="0" collapsed="false">
      <c r="A148" s="11" t="s">
        <v>467</v>
      </c>
      <c r="B148" s="11" t="s">
        <v>468</v>
      </c>
      <c r="C148" s="11" t="n">
        <v>1</v>
      </c>
      <c r="D148" s="12" t="n">
        <v>109.9</v>
      </c>
      <c r="E148" s="11" t="n">
        <v>1</v>
      </c>
      <c r="F148" s="12" t="n">
        <v>1000</v>
      </c>
      <c r="G148" s="11" t="s">
        <v>207</v>
      </c>
      <c r="H148" s="10"/>
      <c r="I148" s="10"/>
    </row>
    <row r="149" customFormat="false" ht="15" hidden="false" customHeight="false" outlineLevel="0" collapsed="false">
      <c r="A149" s="11" t="s">
        <v>467</v>
      </c>
      <c r="B149" s="11" t="s">
        <v>469</v>
      </c>
      <c r="C149" s="11" t="n">
        <v>1</v>
      </c>
      <c r="D149" s="12" t="n">
        <v>109.9</v>
      </c>
      <c r="E149" s="11" t="n">
        <v>1</v>
      </c>
      <c r="F149" s="12" t="n">
        <v>1000</v>
      </c>
      <c r="G149" s="11" t="s">
        <v>207</v>
      </c>
      <c r="H149" s="10"/>
      <c r="I149" s="10"/>
    </row>
    <row r="150" customFormat="false" ht="15" hidden="false" customHeight="false" outlineLevel="0" collapsed="false">
      <c r="A150" s="11" t="s">
        <v>470</v>
      </c>
      <c r="B150" s="11" t="s">
        <v>471</v>
      </c>
      <c r="C150" s="11" t="n">
        <v>1</v>
      </c>
      <c r="D150" s="12" t="n">
        <v>51</v>
      </c>
      <c r="E150" s="11" t="n">
        <v>1</v>
      </c>
      <c r="F150" s="12" t="n">
        <v>1000</v>
      </c>
      <c r="G150" s="11" t="s">
        <v>207</v>
      </c>
      <c r="H150" s="10"/>
      <c r="I150" s="10"/>
    </row>
    <row r="151" customFormat="false" ht="15" hidden="false" customHeight="false" outlineLevel="0" collapsed="false">
      <c r="A151" s="11" t="s">
        <v>472</v>
      </c>
      <c r="B151" s="11" t="s">
        <v>473</v>
      </c>
      <c r="C151" s="11" t="n">
        <v>1</v>
      </c>
      <c r="D151" s="12" t="n">
        <v>8.3</v>
      </c>
      <c r="E151" s="11" t="n">
        <v>1</v>
      </c>
      <c r="F151" s="12" t="n">
        <v>1000</v>
      </c>
      <c r="G151" s="11" t="s">
        <v>207</v>
      </c>
      <c r="H151" s="10"/>
      <c r="I151" s="10"/>
    </row>
    <row r="152" customFormat="false" ht="15" hidden="false" customHeight="false" outlineLevel="0" collapsed="false">
      <c r="A152" s="11" t="s">
        <v>474</v>
      </c>
      <c r="B152" s="11" t="s">
        <v>474</v>
      </c>
      <c r="C152" s="11" t="n">
        <v>1</v>
      </c>
      <c r="D152" s="12" t="n">
        <v>20</v>
      </c>
      <c r="E152" s="11" t="n">
        <v>1</v>
      </c>
      <c r="F152" s="12" t="n">
        <v>1000</v>
      </c>
      <c r="G152" s="11" t="s">
        <v>207</v>
      </c>
      <c r="H152" s="10"/>
      <c r="I152" s="10"/>
    </row>
    <row r="153" customFormat="false" ht="15" hidden="false" customHeight="false" outlineLevel="0" collapsed="false">
      <c r="A153" s="11" t="s">
        <v>475</v>
      </c>
      <c r="B153" s="11" t="s">
        <v>476</v>
      </c>
      <c r="C153" s="11" t="n">
        <v>1</v>
      </c>
      <c r="D153" s="12" t="n">
        <v>8.2</v>
      </c>
      <c r="E153" s="11" t="n">
        <v>1</v>
      </c>
      <c r="F153" s="12" t="n">
        <v>1000</v>
      </c>
      <c r="G153" s="11" t="s">
        <v>207</v>
      </c>
      <c r="H153" s="10"/>
      <c r="I153" s="10"/>
    </row>
    <row r="154" customFormat="false" ht="15" hidden="false" customHeight="false" outlineLevel="0" collapsed="false">
      <c r="A154" s="11" t="s">
        <v>477</v>
      </c>
      <c r="B154" s="11" t="s">
        <v>478</v>
      </c>
      <c r="C154" s="11" t="n">
        <v>1</v>
      </c>
      <c r="D154" s="12" t="n">
        <v>0</v>
      </c>
      <c r="E154" s="11" t="n">
        <v>1</v>
      </c>
      <c r="F154" s="12" t="n">
        <v>1</v>
      </c>
      <c r="G154" s="11" t="s">
        <v>210</v>
      </c>
      <c r="H154" s="10"/>
      <c r="I154" s="10"/>
    </row>
    <row r="155" customFormat="false" ht="15" hidden="false" customHeight="false" outlineLevel="0" collapsed="false">
      <c r="A155" s="11" t="s">
        <v>479</v>
      </c>
      <c r="B155" s="11" t="s">
        <v>480</v>
      </c>
      <c r="C155" s="11" t="n">
        <v>1</v>
      </c>
      <c r="D155" s="12" t="n">
        <v>30</v>
      </c>
      <c r="E155" s="11" t="n">
        <v>1</v>
      </c>
      <c r="F155" s="12" t="n">
        <v>1</v>
      </c>
      <c r="G155" s="11" t="s">
        <v>210</v>
      </c>
      <c r="H155" s="10"/>
      <c r="I155" s="10"/>
    </row>
    <row r="156" customFormat="false" ht="15" hidden="false" customHeight="false" outlineLevel="0" collapsed="false">
      <c r="A156" s="11" t="s">
        <v>481</v>
      </c>
      <c r="B156" s="11" t="s">
        <v>482</v>
      </c>
      <c r="C156" s="11" t="n">
        <v>1</v>
      </c>
      <c r="D156" s="12" t="n">
        <v>86.28</v>
      </c>
      <c r="E156" s="11" t="n">
        <v>1</v>
      </c>
      <c r="F156" s="12" t="n">
        <v>18</v>
      </c>
      <c r="G156" s="11" t="s">
        <v>210</v>
      </c>
      <c r="H156" s="10"/>
      <c r="I156" s="10"/>
    </row>
    <row r="157" customFormat="false" ht="15" hidden="false" customHeight="false" outlineLevel="0" collapsed="false">
      <c r="A157" s="11" t="s">
        <v>483</v>
      </c>
      <c r="B157" s="11" t="s">
        <v>484</v>
      </c>
      <c r="C157" s="11" t="n">
        <v>1</v>
      </c>
      <c r="D157" s="12" t="n">
        <v>10</v>
      </c>
      <c r="E157" s="11" t="n">
        <v>1</v>
      </c>
      <c r="F157" s="12" t="n">
        <v>1</v>
      </c>
      <c r="G157" s="11" t="s">
        <v>210</v>
      </c>
      <c r="H157" s="10"/>
      <c r="I157" s="10"/>
    </row>
    <row r="158" customFormat="false" ht="15" hidden="false" customHeight="false" outlineLevel="0" collapsed="false">
      <c r="A158" s="11" t="s">
        <v>463</v>
      </c>
      <c r="B158" s="11" t="s">
        <v>485</v>
      </c>
      <c r="C158" s="11" t="n">
        <v>1</v>
      </c>
      <c r="D158" s="12" t="n">
        <v>50</v>
      </c>
      <c r="E158" s="11" t="n">
        <v>1</v>
      </c>
      <c r="F158" s="12" t="n">
        <v>1000</v>
      </c>
      <c r="G158" s="11" t="s">
        <v>207</v>
      </c>
      <c r="H158" s="10"/>
      <c r="I158" s="10"/>
    </row>
    <row r="159" customFormat="false" ht="15" hidden="false" customHeight="false" outlineLevel="0" collapsed="false">
      <c r="A159" s="11" t="s">
        <v>463</v>
      </c>
      <c r="B159" s="11" t="s">
        <v>486</v>
      </c>
      <c r="C159" s="11" t="n">
        <v>1</v>
      </c>
      <c r="D159" s="12" t="n">
        <v>50</v>
      </c>
      <c r="E159" s="11" t="n">
        <v>1</v>
      </c>
      <c r="F159" s="12" t="n">
        <v>1000</v>
      </c>
      <c r="G159" s="11" t="s">
        <v>207</v>
      </c>
      <c r="H159" s="10"/>
      <c r="I159" s="10"/>
    </row>
    <row r="160" customFormat="false" ht="15" hidden="false" customHeight="false" outlineLevel="0" collapsed="false">
      <c r="A160" s="11" t="s">
        <v>487</v>
      </c>
      <c r="B160" s="11" t="s">
        <v>488</v>
      </c>
      <c r="C160" s="11" t="n">
        <v>1</v>
      </c>
      <c r="D160" s="12" t="n">
        <v>4.56</v>
      </c>
      <c r="E160" s="11" t="n">
        <v>1</v>
      </c>
      <c r="F160" s="12" t="n">
        <v>1</v>
      </c>
      <c r="G160" s="11" t="s">
        <v>210</v>
      </c>
      <c r="H160" s="10"/>
      <c r="I160" s="10"/>
    </row>
    <row r="161" customFormat="false" ht="15" hidden="false" customHeight="false" outlineLevel="0" collapsed="false">
      <c r="A161" s="11" t="s">
        <v>489</v>
      </c>
      <c r="B161" s="11" t="s">
        <v>490</v>
      </c>
      <c r="C161" s="11" t="n">
        <v>1</v>
      </c>
      <c r="D161" s="12" t="n">
        <v>2</v>
      </c>
      <c r="E161" s="11" t="n">
        <v>1</v>
      </c>
      <c r="F161" s="12" t="n">
        <v>1</v>
      </c>
      <c r="G161" s="11" t="s">
        <v>210</v>
      </c>
      <c r="H161" s="10"/>
      <c r="I161" s="10"/>
    </row>
    <row r="162" customFormat="false" ht="15" hidden="false" customHeight="false" outlineLevel="0" collapsed="false">
      <c r="A162" s="11" t="s">
        <v>491</v>
      </c>
      <c r="B162" s="11" t="s">
        <v>492</v>
      </c>
      <c r="C162" s="11" t="n">
        <v>1</v>
      </c>
      <c r="D162" s="12" t="n">
        <v>4.56</v>
      </c>
      <c r="E162" s="11" t="n">
        <v>1</v>
      </c>
      <c r="F162" s="12" t="n">
        <v>1</v>
      </c>
      <c r="G162" s="11" t="s">
        <v>210</v>
      </c>
      <c r="H162" s="10"/>
      <c r="I162" s="10"/>
    </row>
    <row r="163" customFormat="false" ht="15" hidden="false" customHeight="false" outlineLevel="0" collapsed="false">
      <c r="A163" s="11" t="s">
        <v>493</v>
      </c>
      <c r="B163" s="11" t="s">
        <v>494</v>
      </c>
      <c r="C163" s="11" t="n">
        <v>1</v>
      </c>
      <c r="D163" s="12" t="n">
        <v>4.56</v>
      </c>
      <c r="E163" s="11" t="n">
        <v>1</v>
      </c>
      <c r="F163" s="12" t="n">
        <v>1</v>
      </c>
      <c r="G163" s="11" t="s">
        <v>210</v>
      </c>
      <c r="H163" s="10"/>
      <c r="I163" s="10"/>
    </row>
    <row r="164" customFormat="false" ht="15" hidden="false" customHeight="false" outlineLevel="0" collapsed="false">
      <c r="A164" s="11" t="s">
        <v>495</v>
      </c>
      <c r="B164" s="11" t="s">
        <v>496</v>
      </c>
      <c r="C164" s="11" t="n">
        <v>1</v>
      </c>
      <c r="D164" s="12" t="n">
        <v>2</v>
      </c>
      <c r="E164" s="11" t="n">
        <v>1</v>
      </c>
      <c r="F164" s="12" t="n">
        <v>1</v>
      </c>
      <c r="G164" s="11" t="s">
        <v>210</v>
      </c>
      <c r="H164" s="10"/>
      <c r="I164" s="10"/>
    </row>
    <row r="165" customFormat="false" ht="15" hidden="false" customHeight="false" outlineLevel="0" collapsed="false">
      <c r="A165" s="11" t="s">
        <v>497</v>
      </c>
      <c r="B165" s="11" t="s">
        <v>498</v>
      </c>
      <c r="C165" s="11" t="n">
        <v>1</v>
      </c>
      <c r="D165" s="12" t="n">
        <v>30</v>
      </c>
      <c r="E165" s="11" t="n">
        <v>1</v>
      </c>
      <c r="F165" s="12" t="n">
        <v>1000</v>
      </c>
      <c r="G165" s="11" t="s">
        <v>207</v>
      </c>
      <c r="H165" s="10"/>
      <c r="I165" s="10"/>
    </row>
    <row r="166" customFormat="false" ht="15" hidden="false" customHeight="false" outlineLevel="0" collapsed="false">
      <c r="A166" s="11" t="s">
        <v>499</v>
      </c>
      <c r="B166" s="11" t="s">
        <v>500</v>
      </c>
      <c r="C166" s="11" t="n">
        <v>1</v>
      </c>
      <c r="D166" s="12" t="n">
        <v>335</v>
      </c>
      <c r="E166" s="11" t="n">
        <v>1</v>
      </c>
      <c r="F166" s="12" t="n">
        <v>50</v>
      </c>
      <c r="G166" s="11" t="s">
        <v>210</v>
      </c>
      <c r="H166" s="10"/>
      <c r="I166" s="10"/>
    </row>
    <row r="167" customFormat="false" ht="15" hidden="false" customHeight="false" outlineLevel="0" collapsed="false">
      <c r="A167" s="11" t="s">
        <v>501</v>
      </c>
      <c r="B167" s="11" t="s">
        <v>502</v>
      </c>
      <c r="C167" s="11" t="n">
        <v>1</v>
      </c>
      <c r="D167" s="12" t="n">
        <v>28.4</v>
      </c>
      <c r="E167" s="11" t="n">
        <v>1</v>
      </c>
      <c r="F167" s="12" t="n">
        <v>6</v>
      </c>
      <c r="G167" s="11" t="s">
        <v>210</v>
      </c>
      <c r="H167" s="10"/>
      <c r="I167" s="10"/>
    </row>
    <row r="168" customFormat="false" ht="15" hidden="false" customHeight="false" outlineLevel="0" collapsed="false">
      <c r="A168" s="11" t="s">
        <v>503</v>
      </c>
      <c r="B168" s="11" t="s">
        <v>504</v>
      </c>
      <c r="C168" s="11" t="n">
        <v>1</v>
      </c>
      <c r="D168" s="12" t="n">
        <v>30.8</v>
      </c>
      <c r="E168" s="11" t="n">
        <v>1</v>
      </c>
      <c r="F168" s="12" t="n">
        <v>6</v>
      </c>
      <c r="G168" s="11" t="s">
        <v>210</v>
      </c>
      <c r="H168" s="10"/>
      <c r="I168" s="10"/>
    </row>
    <row r="169" customFormat="false" ht="15" hidden="false" customHeight="false" outlineLevel="0" collapsed="false">
      <c r="A169" s="11" t="s">
        <v>505</v>
      </c>
      <c r="B169" s="11" t="s">
        <v>506</v>
      </c>
      <c r="C169" s="11" t="n">
        <v>1</v>
      </c>
      <c r="D169" s="12" t="n">
        <v>21.9</v>
      </c>
      <c r="E169" s="11" t="n">
        <v>1</v>
      </c>
      <c r="F169" s="12" t="n">
        <v>1</v>
      </c>
      <c r="G169" s="11" t="s">
        <v>210</v>
      </c>
      <c r="H169" s="10"/>
      <c r="I169" s="10"/>
    </row>
    <row r="170" customFormat="false" ht="15" hidden="false" customHeight="false" outlineLevel="0" collapsed="false">
      <c r="A170" s="11" t="s">
        <v>507</v>
      </c>
      <c r="B170" s="11" t="s">
        <v>508</v>
      </c>
      <c r="C170" s="11" t="n">
        <v>1</v>
      </c>
      <c r="D170" s="12" t="n">
        <v>47.925</v>
      </c>
      <c r="E170" s="11" t="n">
        <v>1</v>
      </c>
      <c r="F170" s="12" t="n">
        <v>1</v>
      </c>
      <c r="G170" s="11" t="s">
        <v>210</v>
      </c>
      <c r="H170" s="10"/>
      <c r="I170" s="10"/>
    </row>
    <row r="171" customFormat="false" ht="15" hidden="false" customHeight="false" outlineLevel="0" collapsed="false">
      <c r="A171" s="11" t="s">
        <v>509</v>
      </c>
      <c r="B171" s="11" t="s">
        <v>510</v>
      </c>
      <c r="C171" s="11" t="n">
        <v>1</v>
      </c>
      <c r="D171" s="12" t="n">
        <v>53.25</v>
      </c>
      <c r="E171" s="11" t="n">
        <v>1</v>
      </c>
      <c r="F171" s="12" t="n">
        <v>1</v>
      </c>
      <c r="G171" s="11" t="s">
        <v>210</v>
      </c>
      <c r="H171" s="10"/>
      <c r="I171" s="10"/>
    </row>
    <row r="172" customFormat="false" ht="15" hidden="false" customHeight="false" outlineLevel="0" collapsed="false">
      <c r="A172" s="11" t="s">
        <v>511</v>
      </c>
      <c r="B172" s="11" t="s">
        <v>512</v>
      </c>
      <c r="C172" s="11" t="n">
        <v>1</v>
      </c>
      <c r="D172" s="12" t="n">
        <v>154</v>
      </c>
      <c r="E172" s="11" t="n">
        <v>1</v>
      </c>
      <c r="F172" s="12" t="n">
        <v>65</v>
      </c>
      <c r="G172" s="11" t="s">
        <v>210</v>
      </c>
      <c r="H172" s="10"/>
      <c r="I172" s="10"/>
    </row>
    <row r="173" customFormat="false" ht="15" hidden="false" customHeight="false" outlineLevel="0" collapsed="false">
      <c r="A173" s="11" t="s">
        <v>513</v>
      </c>
      <c r="B173" s="11" t="s">
        <v>514</v>
      </c>
      <c r="C173" s="11" t="n">
        <v>1</v>
      </c>
      <c r="D173" s="12" t="n">
        <v>161</v>
      </c>
      <c r="E173" s="11" t="n">
        <v>1</v>
      </c>
      <c r="F173" s="12" t="n">
        <v>53</v>
      </c>
      <c r="G173" s="11" t="s">
        <v>210</v>
      </c>
      <c r="H173" s="10"/>
      <c r="I173" s="10"/>
    </row>
    <row r="174" customFormat="false" ht="15" hidden="false" customHeight="false" outlineLevel="0" collapsed="false">
      <c r="A174" s="11" t="s">
        <v>515</v>
      </c>
      <c r="B174" s="11" t="s">
        <v>516</v>
      </c>
      <c r="C174" s="11" t="n">
        <v>1</v>
      </c>
      <c r="D174" s="12" t="n">
        <v>522.94</v>
      </c>
      <c r="E174" s="11" t="n">
        <v>1</v>
      </c>
      <c r="F174" s="12" t="n">
        <v>64</v>
      </c>
      <c r="G174" s="11" t="s">
        <v>210</v>
      </c>
      <c r="H174" s="10"/>
      <c r="I174" s="10"/>
    </row>
    <row r="175" customFormat="false" ht="15" hidden="false" customHeight="false" outlineLevel="0" collapsed="false">
      <c r="A175" s="11" t="s">
        <v>517</v>
      </c>
      <c r="B175" s="11" t="s">
        <v>518</v>
      </c>
      <c r="C175" s="11" t="n">
        <v>1</v>
      </c>
      <c r="D175" s="12" t="n">
        <v>362.2</v>
      </c>
      <c r="E175" s="11" t="n">
        <v>1</v>
      </c>
      <c r="F175" s="12" t="n">
        <v>192</v>
      </c>
      <c r="G175" s="11" t="s">
        <v>210</v>
      </c>
      <c r="H175" s="10"/>
      <c r="I175" s="10"/>
    </row>
    <row r="176" customFormat="false" ht="15" hidden="false" customHeight="false" outlineLevel="0" collapsed="false">
      <c r="A176" s="11" t="s">
        <v>519</v>
      </c>
      <c r="B176" s="11" t="s">
        <v>520</v>
      </c>
      <c r="C176" s="11" t="n">
        <v>1</v>
      </c>
      <c r="D176" s="12" t="n">
        <v>577.52</v>
      </c>
      <c r="E176" s="11" t="n">
        <v>1</v>
      </c>
      <c r="F176" s="12" t="n">
        <v>135</v>
      </c>
      <c r="G176" s="11" t="s">
        <v>210</v>
      </c>
      <c r="H176" s="10"/>
      <c r="I176" s="10"/>
    </row>
    <row r="177" customFormat="false" ht="15" hidden="false" customHeight="false" outlineLevel="0" collapsed="false">
      <c r="A177" s="11" t="s">
        <v>521</v>
      </c>
      <c r="B177" s="11" t="s">
        <v>522</v>
      </c>
      <c r="C177" s="11" t="n">
        <v>1</v>
      </c>
      <c r="D177" s="12" t="n">
        <v>4.45</v>
      </c>
      <c r="E177" s="11" t="n">
        <v>1</v>
      </c>
      <c r="F177" s="12" t="n">
        <v>1</v>
      </c>
      <c r="G177" s="11" t="s">
        <v>210</v>
      </c>
      <c r="H177" s="10"/>
      <c r="I177" s="10"/>
    </row>
    <row r="178" customFormat="false" ht="15" hidden="false" customHeight="false" outlineLevel="0" collapsed="false">
      <c r="A178" s="11" t="s">
        <v>523</v>
      </c>
      <c r="B178" s="11" t="s">
        <v>524</v>
      </c>
      <c r="C178" s="11" t="n">
        <v>1</v>
      </c>
      <c r="D178" s="12" t="n">
        <v>5.59</v>
      </c>
      <c r="E178" s="11" t="n">
        <v>1</v>
      </c>
      <c r="F178" s="12" t="n">
        <v>30</v>
      </c>
      <c r="G178" s="11" t="s">
        <v>207</v>
      </c>
      <c r="H178" s="10"/>
      <c r="I178" s="10"/>
    </row>
    <row r="179" customFormat="false" ht="15" hidden="false" customHeight="false" outlineLevel="0" collapsed="false">
      <c r="A179" s="11" t="s">
        <v>525</v>
      </c>
      <c r="B179" s="11" t="s">
        <v>526</v>
      </c>
      <c r="C179" s="11" t="n">
        <v>1</v>
      </c>
      <c r="D179" s="12" t="n">
        <v>12.5865</v>
      </c>
      <c r="E179" s="11" t="n">
        <v>1</v>
      </c>
      <c r="F179" s="12" t="n">
        <v>340</v>
      </c>
      <c r="G179" s="11" t="s">
        <v>207</v>
      </c>
      <c r="H179" s="10"/>
      <c r="I179" s="10"/>
    </row>
    <row r="180" customFormat="false" ht="15" hidden="false" customHeight="false" outlineLevel="0" collapsed="false">
      <c r="A180" s="11" t="s">
        <v>525</v>
      </c>
      <c r="B180" s="11" t="s">
        <v>527</v>
      </c>
      <c r="C180" s="11" t="n">
        <v>1</v>
      </c>
      <c r="D180" s="12" t="n">
        <v>12.5865</v>
      </c>
      <c r="E180" s="11" t="n">
        <v>1</v>
      </c>
      <c r="F180" s="12" t="n">
        <v>340</v>
      </c>
      <c r="G180" s="11" t="s">
        <v>207</v>
      </c>
      <c r="H180" s="10"/>
      <c r="I180" s="10"/>
    </row>
    <row r="181" customFormat="false" ht="15" hidden="false" customHeight="false" outlineLevel="0" collapsed="false">
      <c r="A181" s="11" t="s">
        <v>528</v>
      </c>
      <c r="B181" s="11" t="s">
        <v>529</v>
      </c>
      <c r="C181" s="11" t="n">
        <v>1</v>
      </c>
      <c r="D181" s="12" t="n">
        <v>35</v>
      </c>
      <c r="E181" s="11" t="n">
        <v>1</v>
      </c>
      <c r="F181" s="12" t="n">
        <v>1000</v>
      </c>
      <c r="G181" s="11" t="s">
        <v>207</v>
      </c>
      <c r="H181" s="10"/>
      <c r="I181" s="10"/>
    </row>
    <row r="182" customFormat="false" ht="15" hidden="false" customHeight="false" outlineLevel="0" collapsed="false">
      <c r="A182" s="11" t="s">
        <v>530</v>
      </c>
      <c r="B182" s="11" t="s">
        <v>531</v>
      </c>
      <c r="C182" s="11" t="n">
        <v>1</v>
      </c>
      <c r="D182" s="12" t="n">
        <v>49.9</v>
      </c>
      <c r="E182" s="11" t="n">
        <v>1</v>
      </c>
      <c r="F182" s="12" t="n">
        <v>1</v>
      </c>
      <c r="G182" s="11" t="s">
        <v>210</v>
      </c>
      <c r="H182" s="10"/>
      <c r="I182" s="10"/>
    </row>
    <row r="183" customFormat="false" ht="15" hidden="false" customHeight="false" outlineLevel="0" collapsed="false">
      <c r="A183" s="11" t="s">
        <v>532</v>
      </c>
      <c r="B183" s="11" t="s">
        <v>533</v>
      </c>
      <c r="C183" s="11" t="n">
        <v>1</v>
      </c>
      <c r="D183" s="12" t="n">
        <v>49.9</v>
      </c>
      <c r="E183" s="11" t="n">
        <v>1</v>
      </c>
      <c r="F183" s="12" t="n">
        <v>1</v>
      </c>
      <c r="G183" s="11" t="s">
        <v>210</v>
      </c>
      <c r="H183" s="10"/>
      <c r="I183" s="10"/>
    </row>
    <row r="184" customFormat="false" ht="15" hidden="false" customHeight="false" outlineLevel="0" collapsed="false">
      <c r="A184" s="11" t="s">
        <v>282</v>
      </c>
      <c r="B184" s="11" t="s">
        <v>534</v>
      </c>
      <c r="C184" s="11" t="n">
        <v>1</v>
      </c>
      <c r="D184" s="12" t="n">
        <v>2.0071</v>
      </c>
      <c r="E184" s="11" t="n">
        <v>1</v>
      </c>
      <c r="F184" s="12" t="n">
        <v>50</v>
      </c>
      <c r="G184" s="11" t="s">
        <v>207</v>
      </c>
      <c r="H184" s="10"/>
      <c r="I184" s="10"/>
    </row>
    <row r="185" customFormat="false" ht="15" hidden="false" customHeight="false" outlineLevel="0" collapsed="false">
      <c r="A185" s="11" t="s">
        <v>535</v>
      </c>
      <c r="B185" s="11" t="s">
        <v>536</v>
      </c>
      <c r="C185" s="11" t="n">
        <v>1</v>
      </c>
      <c r="D185" s="12" t="n">
        <v>4.45</v>
      </c>
      <c r="E185" s="11" t="n">
        <v>1</v>
      </c>
      <c r="F185" s="12" t="n">
        <v>1</v>
      </c>
      <c r="G185" s="11" t="s">
        <v>210</v>
      </c>
      <c r="H185" s="10"/>
      <c r="I185" s="10"/>
    </row>
    <row r="186" customFormat="false" ht="15" hidden="false" customHeight="false" outlineLevel="0" collapsed="false">
      <c r="A186" s="11" t="s">
        <v>537</v>
      </c>
      <c r="B186" s="11" t="s">
        <v>538</v>
      </c>
      <c r="C186" s="11" t="n">
        <v>1</v>
      </c>
      <c r="D186" s="12" t="n">
        <v>33.21</v>
      </c>
      <c r="E186" s="11" t="n">
        <v>1</v>
      </c>
      <c r="F186" s="12" t="n">
        <v>12</v>
      </c>
      <c r="G186" s="11" t="s">
        <v>210</v>
      </c>
      <c r="H186" s="10"/>
      <c r="I186" s="10"/>
    </row>
    <row r="187" customFormat="false" ht="15" hidden="false" customHeight="false" outlineLevel="0" collapsed="false">
      <c r="A187" s="11" t="s">
        <v>539</v>
      </c>
      <c r="B187" s="11" t="s">
        <v>540</v>
      </c>
      <c r="C187" s="11" t="n">
        <v>1</v>
      </c>
      <c r="D187" s="12" t="n">
        <v>2.5</v>
      </c>
      <c r="E187" s="11" t="n">
        <v>1</v>
      </c>
      <c r="F187" s="12" t="n">
        <v>500</v>
      </c>
      <c r="G187" s="11" t="s">
        <v>204</v>
      </c>
      <c r="H187" s="10"/>
      <c r="I187" s="10"/>
    </row>
    <row r="188" customFormat="false" ht="15" hidden="false" customHeight="false" outlineLevel="0" collapsed="false">
      <c r="A188" s="11" t="s">
        <v>541</v>
      </c>
      <c r="B188" s="11" t="s">
        <v>542</v>
      </c>
      <c r="C188" s="11" t="n">
        <v>1</v>
      </c>
      <c r="D188" s="12" t="n">
        <v>5.55</v>
      </c>
      <c r="E188" s="11" t="n">
        <v>1</v>
      </c>
      <c r="F188" s="12" t="n">
        <v>1</v>
      </c>
      <c r="G188" s="11" t="s">
        <v>210</v>
      </c>
      <c r="H188" s="10"/>
      <c r="I188" s="10"/>
    </row>
    <row r="189" customFormat="false" ht="15" hidden="false" customHeight="false" outlineLevel="0" collapsed="false">
      <c r="A189" s="11" t="s">
        <v>543</v>
      </c>
      <c r="B189" s="11" t="s">
        <v>321</v>
      </c>
      <c r="C189" s="11" t="n">
        <v>1</v>
      </c>
      <c r="D189" s="12" t="n">
        <v>6</v>
      </c>
      <c r="E189" s="11" t="n">
        <v>1</v>
      </c>
      <c r="F189" s="12" t="n">
        <v>150</v>
      </c>
      <c r="G189" s="11" t="s">
        <v>207</v>
      </c>
      <c r="H189" s="10"/>
      <c r="I189" s="10"/>
    </row>
    <row r="190" customFormat="false" ht="15" hidden="false" customHeight="false" outlineLevel="0" collapsed="false">
      <c r="A190" s="11" t="s">
        <v>544</v>
      </c>
      <c r="B190" s="11" t="s">
        <v>545</v>
      </c>
      <c r="C190" s="11" t="n">
        <v>1</v>
      </c>
      <c r="D190" s="12" t="n">
        <v>29.9</v>
      </c>
      <c r="E190" s="11" t="n">
        <v>1</v>
      </c>
      <c r="F190" s="12" t="n">
        <v>1000</v>
      </c>
      <c r="G190" s="11" t="s">
        <v>207</v>
      </c>
      <c r="H190" s="10"/>
      <c r="I190" s="10"/>
    </row>
    <row r="191" customFormat="false" ht="15" hidden="false" customHeight="false" outlineLevel="0" collapsed="false">
      <c r="A191" s="11" t="s">
        <v>546</v>
      </c>
      <c r="B191" s="11" t="s">
        <v>547</v>
      </c>
      <c r="C191" s="11" t="n">
        <v>1</v>
      </c>
      <c r="D191" s="12" t="n">
        <v>40</v>
      </c>
      <c r="E191" s="11" t="n">
        <v>1</v>
      </c>
      <c r="F191" s="12" t="n">
        <v>1000</v>
      </c>
      <c r="G191" s="11" t="s">
        <v>207</v>
      </c>
      <c r="H191" s="10"/>
      <c r="I191" s="10"/>
    </row>
    <row r="192" customFormat="false" ht="15" hidden="false" customHeight="false" outlineLevel="0" collapsed="false">
      <c r="A192" s="11" t="s">
        <v>453</v>
      </c>
      <c r="B192" s="11" t="s">
        <v>548</v>
      </c>
      <c r="C192" s="11" t="n">
        <v>1</v>
      </c>
      <c r="D192" s="12" t="n">
        <v>12</v>
      </c>
      <c r="E192" s="11" t="n">
        <v>1</v>
      </c>
      <c r="F192" s="12" t="n">
        <v>120</v>
      </c>
      <c r="G192" s="11" t="s">
        <v>207</v>
      </c>
      <c r="H192" s="10"/>
      <c r="I192" s="10"/>
    </row>
    <row r="193" customFormat="false" ht="15" hidden="false" customHeight="false" outlineLevel="0" collapsed="false">
      <c r="A193" s="11" t="s">
        <v>549</v>
      </c>
      <c r="B193" s="11" t="s">
        <v>550</v>
      </c>
      <c r="C193" s="11" t="n">
        <v>1</v>
      </c>
      <c r="D193" s="12" t="n">
        <v>7.39</v>
      </c>
      <c r="E193" s="11" t="n">
        <v>1</v>
      </c>
      <c r="F193" s="12" t="n">
        <v>1</v>
      </c>
      <c r="G193" s="11" t="s">
        <v>210</v>
      </c>
      <c r="H193" s="10"/>
      <c r="I193" s="10"/>
    </row>
    <row r="194" customFormat="false" ht="15" hidden="false" customHeight="false" outlineLevel="0" collapsed="false">
      <c r="A194" s="11" t="s">
        <v>551</v>
      </c>
      <c r="B194" s="11" t="s">
        <v>451</v>
      </c>
      <c r="C194" s="11" t="n">
        <v>1</v>
      </c>
      <c r="D194" s="12" t="n">
        <v>3.72</v>
      </c>
      <c r="E194" s="11" t="n">
        <v>1</v>
      </c>
      <c r="F194" s="12" t="n">
        <v>18</v>
      </c>
      <c r="G194" s="11" t="s">
        <v>210</v>
      </c>
      <c r="H194" s="10"/>
      <c r="I194" s="10"/>
    </row>
    <row r="195" customFormat="false" ht="15" hidden="false" customHeight="false" outlineLevel="0" collapsed="false">
      <c r="A195" s="11" t="s">
        <v>552</v>
      </c>
      <c r="B195" s="11" t="s">
        <v>451</v>
      </c>
      <c r="C195" s="11" t="n">
        <v>1</v>
      </c>
      <c r="D195" s="12" t="n">
        <v>34.9</v>
      </c>
      <c r="E195" s="11" t="n">
        <v>1</v>
      </c>
      <c r="F195" s="12" t="n">
        <v>1000</v>
      </c>
      <c r="G195" s="11" t="s">
        <v>207</v>
      </c>
      <c r="H195" s="10"/>
      <c r="I195" s="10"/>
    </row>
    <row r="196" customFormat="false" ht="15" hidden="false" customHeight="false" outlineLevel="0" collapsed="false">
      <c r="A196" s="11" t="s">
        <v>553</v>
      </c>
      <c r="B196" s="11" t="s">
        <v>554</v>
      </c>
      <c r="C196" s="11" t="n">
        <v>1</v>
      </c>
      <c r="D196" s="12" t="n">
        <v>19.99</v>
      </c>
      <c r="E196" s="11" t="n">
        <v>1</v>
      </c>
      <c r="F196" s="12" t="n">
        <v>1000</v>
      </c>
      <c r="G196" s="11" t="s">
        <v>207</v>
      </c>
      <c r="H196" s="10"/>
      <c r="I196" s="10"/>
    </row>
    <row r="197" customFormat="false" ht="15" hidden="false" customHeight="false" outlineLevel="0" collapsed="false">
      <c r="A197" s="11" t="s">
        <v>555</v>
      </c>
      <c r="B197" s="11" t="s">
        <v>556</v>
      </c>
      <c r="C197" s="11" t="n">
        <v>1</v>
      </c>
      <c r="D197" s="12" t="n">
        <v>25.99</v>
      </c>
      <c r="E197" s="11" t="n">
        <v>1</v>
      </c>
      <c r="F197" s="12" t="n">
        <v>1000</v>
      </c>
      <c r="G197" s="11" t="s">
        <v>207</v>
      </c>
      <c r="H197" s="10"/>
      <c r="I197" s="10"/>
    </row>
    <row r="198" customFormat="false" ht="15" hidden="false" customHeight="false" outlineLevel="0" collapsed="false">
      <c r="A198" s="11" t="s">
        <v>557</v>
      </c>
      <c r="B198" s="11" t="s">
        <v>558</v>
      </c>
      <c r="C198" s="11" t="n">
        <v>1</v>
      </c>
      <c r="D198" s="12" t="n">
        <v>37</v>
      </c>
      <c r="E198" s="11" t="n">
        <v>1</v>
      </c>
      <c r="F198" s="12" t="n">
        <v>400</v>
      </c>
      <c r="G198" s="11" t="s">
        <v>207</v>
      </c>
      <c r="H198" s="10"/>
      <c r="I198" s="10"/>
    </row>
    <row r="199" customFormat="false" ht="15" hidden="false" customHeight="false" outlineLevel="0" collapsed="false">
      <c r="A199" s="11" t="s">
        <v>559</v>
      </c>
      <c r="B199" s="11" t="s">
        <v>560</v>
      </c>
      <c r="C199" s="11" t="n">
        <v>1</v>
      </c>
      <c r="D199" s="12" t="n">
        <v>5</v>
      </c>
      <c r="E199" s="11" t="n">
        <v>1</v>
      </c>
      <c r="F199" s="12" t="n">
        <v>500</v>
      </c>
      <c r="G199" s="11" t="s">
        <v>207</v>
      </c>
      <c r="H199" s="10"/>
      <c r="I199" s="10"/>
    </row>
    <row r="200" customFormat="false" ht="15" hidden="false" customHeight="false" outlineLevel="0" collapsed="false">
      <c r="A200" s="11" t="s">
        <v>561</v>
      </c>
      <c r="B200" s="11" t="s">
        <v>561</v>
      </c>
      <c r="C200" s="11" t="n">
        <v>1</v>
      </c>
      <c r="D200" s="12" t="n">
        <v>2.89</v>
      </c>
      <c r="E200" s="11" t="n">
        <v>1</v>
      </c>
      <c r="F200" s="12" t="n">
        <v>120</v>
      </c>
      <c r="G200" s="11" t="s">
        <v>207</v>
      </c>
      <c r="H200" s="10"/>
      <c r="I200" s="10"/>
    </row>
    <row r="201" customFormat="false" ht="15" hidden="false" customHeight="false" outlineLevel="0" collapsed="false">
      <c r="A201" s="11" t="s">
        <v>562</v>
      </c>
      <c r="B201" s="11" t="s">
        <v>563</v>
      </c>
      <c r="C201" s="11" t="n">
        <v>1</v>
      </c>
      <c r="D201" s="12" t="n">
        <v>164.97</v>
      </c>
      <c r="E201" s="11" t="n">
        <v>1</v>
      </c>
      <c r="F201" s="12" t="n">
        <v>16</v>
      </c>
      <c r="G201" s="11" t="s">
        <v>210</v>
      </c>
      <c r="H201" s="10"/>
      <c r="I201" s="10"/>
    </row>
    <row r="202" customFormat="false" ht="15" hidden="false" customHeight="false" outlineLevel="0" collapsed="false">
      <c r="A202" s="11" t="s">
        <v>564</v>
      </c>
      <c r="B202" s="11" t="s">
        <v>565</v>
      </c>
      <c r="C202" s="11" t="n">
        <v>1</v>
      </c>
      <c r="D202" s="12" t="n">
        <v>7.2</v>
      </c>
      <c r="E202" s="11" t="n">
        <v>1</v>
      </c>
      <c r="F202" s="12" t="n">
        <v>1</v>
      </c>
      <c r="G202" s="11" t="s">
        <v>210</v>
      </c>
      <c r="H202" s="10"/>
      <c r="I202" s="10"/>
    </row>
    <row r="203" customFormat="false" ht="15" hidden="false" customHeight="false" outlineLevel="0" collapsed="false">
      <c r="A203" s="11" t="s">
        <v>566</v>
      </c>
      <c r="B203" s="11" t="s">
        <v>567</v>
      </c>
      <c r="C203" s="11" t="n">
        <v>1</v>
      </c>
      <c r="D203" s="12" t="n">
        <v>7.2</v>
      </c>
      <c r="E203" s="11" t="n">
        <v>1</v>
      </c>
      <c r="F203" s="12" t="n">
        <v>1</v>
      </c>
      <c r="G203" s="11" t="s">
        <v>210</v>
      </c>
      <c r="H203" s="10"/>
      <c r="I203" s="10"/>
    </row>
    <row r="204" customFormat="false" ht="15" hidden="false" customHeight="false" outlineLevel="0" collapsed="false">
      <c r="A204" s="11" t="s">
        <v>568</v>
      </c>
      <c r="B204" s="11" t="s">
        <v>569</v>
      </c>
      <c r="C204" s="11" t="n">
        <v>1</v>
      </c>
      <c r="D204" s="12" t="n">
        <v>7.2</v>
      </c>
      <c r="E204" s="11" t="n">
        <v>1</v>
      </c>
      <c r="F204" s="12" t="n">
        <v>1</v>
      </c>
      <c r="G204" s="11" t="s">
        <v>210</v>
      </c>
      <c r="H204" s="10"/>
      <c r="I204" s="10"/>
    </row>
    <row r="205" customFormat="false" ht="15" hidden="false" customHeight="false" outlineLevel="0" collapsed="false">
      <c r="A205" s="11" t="s">
        <v>570</v>
      </c>
      <c r="B205" s="11" t="s">
        <v>571</v>
      </c>
      <c r="C205" s="11" t="n">
        <v>1</v>
      </c>
      <c r="D205" s="12" t="n">
        <v>7.2</v>
      </c>
      <c r="E205" s="11" t="n">
        <v>1</v>
      </c>
      <c r="F205" s="12" t="n">
        <v>1</v>
      </c>
      <c r="G205" s="11" t="s">
        <v>210</v>
      </c>
      <c r="H205" s="10"/>
      <c r="I205" s="10"/>
    </row>
    <row r="206" customFormat="false" ht="15" hidden="false" customHeight="false" outlineLevel="0" collapsed="false">
      <c r="A206" s="11" t="s">
        <v>572</v>
      </c>
      <c r="B206" s="11" t="s">
        <v>573</v>
      </c>
      <c r="C206" s="11" t="n">
        <v>1</v>
      </c>
      <c r="D206" s="12" t="n">
        <v>28.99</v>
      </c>
      <c r="E206" s="11" t="n">
        <v>1</v>
      </c>
      <c r="F206" s="12" t="n">
        <v>320</v>
      </c>
      <c r="G206" s="11" t="s">
        <v>207</v>
      </c>
      <c r="H206" s="10"/>
      <c r="I206" s="10"/>
    </row>
    <row r="207" customFormat="false" ht="15" hidden="false" customHeight="false" outlineLevel="0" collapsed="false">
      <c r="A207" s="11" t="s">
        <v>574</v>
      </c>
      <c r="B207" s="11" t="s">
        <v>575</v>
      </c>
      <c r="C207" s="11" t="n">
        <v>1</v>
      </c>
      <c r="D207" s="12" t="n">
        <v>28.99</v>
      </c>
      <c r="E207" s="11" t="n">
        <v>1</v>
      </c>
      <c r="F207" s="12" t="n">
        <v>320</v>
      </c>
      <c r="G207" s="11" t="s">
        <v>207</v>
      </c>
      <c r="H207" s="10"/>
      <c r="I207" s="10"/>
    </row>
    <row r="208" customFormat="false" ht="15" hidden="false" customHeight="false" outlineLevel="0" collapsed="false">
      <c r="A208" s="11" t="s">
        <v>576</v>
      </c>
      <c r="B208" s="11" t="s">
        <v>577</v>
      </c>
      <c r="C208" s="11" t="n">
        <v>1</v>
      </c>
      <c r="D208" s="12" t="n">
        <v>24.98</v>
      </c>
      <c r="E208" s="11" t="n">
        <v>1</v>
      </c>
      <c r="F208" s="12" t="n">
        <v>80</v>
      </c>
      <c r="G208" s="11" t="s">
        <v>207</v>
      </c>
      <c r="H208" s="10"/>
      <c r="I208" s="10"/>
    </row>
    <row r="209" customFormat="false" ht="15" hidden="false" customHeight="false" outlineLevel="0" collapsed="false">
      <c r="A209" s="11" t="s">
        <v>578</v>
      </c>
      <c r="B209" s="11" t="s">
        <v>578</v>
      </c>
      <c r="C209" s="11" t="n">
        <v>1</v>
      </c>
      <c r="D209" s="12" t="n">
        <v>17.99</v>
      </c>
      <c r="E209" s="11" t="n">
        <v>1</v>
      </c>
      <c r="F209" s="12" t="n">
        <v>567</v>
      </c>
      <c r="G209" s="11" t="s">
        <v>207</v>
      </c>
      <c r="H209" s="10"/>
      <c r="I209" s="10"/>
    </row>
    <row r="210" customFormat="false" ht="15" hidden="false" customHeight="false" outlineLevel="0" collapsed="false">
      <c r="A210" s="11" t="s">
        <v>579</v>
      </c>
      <c r="B210" s="11" t="s">
        <v>580</v>
      </c>
      <c r="C210" s="11" t="n">
        <v>1</v>
      </c>
      <c r="D210" s="12" t="n">
        <v>4.8</v>
      </c>
      <c r="E210" s="11" t="n">
        <v>1</v>
      </c>
      <c r="F210" s="12" t="n">
        <v>1000</v>
      </c>
      <c r="G210" s="11" t="s">
        <v>207</v>
      </c>
      <c r="H210" s="10"/>
      <c r="I210" s="10"/>
    </row>
    <row r="211" customFormat="false" ht="15" hidden="false" customHeight="false" outlineLevel="0" collapsed="false">
      <c r="A211" s="11" t="s">
        <v>423</v>
      </c>
      <c r="B211" s="11" t="s">
        <v>581</v>
      </c>
      <c r="C211" s="11" t="n">
        <v>1</v>
      </c>
      <c r="D211" s="12" t="n">
        <v>4.8</v>
      </c>
      <c r="E211" s="11" t="n">
        <v>1</v>
      </c>
      <c r="F211" s="12" t="n">
        <v>1000</v>
      </c>
      <c r="G211" s="11" t="s">
        <v>207</v>
      </c>
      <c r="H211" s="10"/>
      <c r="I211" s="10"/>
    </row>
    <row r="212" customFormat="false" ht="15" hidden="false" customHeight="false" outlineLevel="0" collapsed="false">
      <c r="A212" s="11" t="s">
        <v>582</v>
      </c>
      <c r="B212" s="11" t="s">
        <v>583</v>
      </c>
      <c r="C212" s="11" t="n">
        <v>1</v>
      </c>
      <c r="D212" s="12" t="n">
        <v>54</v>
      </c>
      <c r="E212" s="11" t="n">
        <v>1</v>
      </c>
      <c r="F212" s="12" t="n">
        <v>250</v>
      </c>
      <c r="G212" s="11" t="s">
        <v>204</v>
      </c>
      <c r="H212" s="10"/>
      <c r="I212" s="10"/>
    </row>
    <row r="213" customFormat="false" ht="15" hidden="false" customHeight="false" outlineLevel="0" collapsed="false">
      <c r="A213" s="11" t="s">
        <v>584</v>
      </c>
      <c r="B213" s="11" t="s">
        <v>585</v>
      </c>
      <c r="C213" s="11" t="n">
        <v>1</v>
      </c>
      <c r="D213" s="12" t="n">
        <v>20</v>
      </c>
      <c r="E213" s="11" t="n">
        <v>1</v>
      </c>
      <c r="F213" s="12" t="n">
        <v>1</v>
      </c>
      <c r="G213" s="11" t="s">
        <v>210</v>
      </c>
      <c r="H213" s="10"/>
      <c r="I213" s="10"/>
    </row>
    <row r="214" customFormat="false" ht="15" hidden="false" customHeight="false" outlineLevel="0" collapsed="false">
      <c r="A214" s="11" t="s">
        <v>586</v>
      </c>
      <c r="B214" s="11" t="s">
        <v>587</v>
      </c>
      <c r="C214" s="11" t="n">
        <v>1</v>
      </c>
      <c r="D214" s="12" t="n">
        <v>15.2</v>
      </c>
      <c r="E214" s="11" t="n">
        <v>1</v>
      </c>
      <c r="F214" s="12" t="n">
        <v>1</v>
      </c>
      <c r="G214" s="11" t="s">
        <v>210</v>
      </c>
      <c r="H214" s="10"/>
      <c r="I214" s="10"/>
    </row>
    <row r="215" customFormat="false" ht="15" hidden="false" customHeight="false" outlineLevel="0" collapsed="false">
      <c r="A215" s="11" t="s">
        <v>202</v>
      </c>
      <c r="B215" s="11" t="s">
        <v>588</v>
      </c>
      <c r="C215" s="11" t="n">
        <v>1</v>
      </c>
      <c r="D215" s="12" t="n">
        <v>5.5</v>
      </c>
      <c r="E215" s="11" t="n">
        <v>1</v>
      </c>
      <c r="F215" s="12" t="n">
        <v>1000</v>
      </c>
      <c r="G215" s="11" t="s">
        <v>204</v>
      </c>
      <c r="H215" s="10"/>
      <c r="I215" s="10"/>
    </row>
    <row r="216" customFormat="false" ht="15" hidden="false" customHeight="false" outlineLevel="0" collapsed="false">
      <c r="A216" s="11" t="s">
        <v>202</v>
      </c>
      <c r="B216" s="11" t="s">
        <v>589</v>
      </c>
      <c r="C216" s="11" t="n">
        <v>1</v>
      </c>
      <c r="D216" s="12" t="n">
        <v>5.5</v>
      </c>
      <c r="E216" s="11" t="n">
        <v>1</v>
      </c>
      <c r="F216" s="12" t="n">
        <v>1000</v>
      </c>
      <c r="G216" s="11" t="s">
        <v>204</v>
      </c>
      <c r="H216" s="10"/>
      <c r="I216" s="10"/>
    </row>
    <row r="217" customFormat="false" ht="15" hidden="false" customHeight="false" outlineLevel="0" collapsed="false">
      <c r="A217" s="11" t="s">
        <v>590</v>
      </c>
      <c r="B217" s="11" t="s">
        <v>591</v>
      </c>
      <c r="C217" s="11" t="n">
        <v>1</v>
      </c>
      <c r="D217" s="12" t="n">
        <v>52.65</v>
      </c>
      <c r="E217" s="11" t="n">
        <v>1</v>
      </c>
      <c r="F217" s="12" t="n">
        <v>9</v>
      </c>
      <c r="G217" s="11" t="s">
        <v>210</v>
      </c>
      <c r="H217" s="10"/>
      <c r="I217" s="10"/>
    </row>
    <row r="218" customFormat="false" ht="15" hidden="false" customHeight="false" outlineLevel="0" collapsed="false">
      <c r="A218" s="11" t="s">
        <v>230</v>
      </c>
      <c r="B218" s="11" t="s">
        <v>230</v>
      </c>
      <c r="C218" s="11" t="n">
        <v>1</v>
      </c>
      <c r="D218" s="12" t="n">
        <v>450</v>
      </c>
      <c r="E218" s="11" t="n">
        <v>1</v>
      </c>
      <c r="F218" s="12" t="n">
        <v>1000</v>
      </c>
      <c r="G218" s="11" t="s">
        <v>207</v>
      </c>
      <c r="H218" s="10"/>
      <c r="I218" s="10"/>
    </row>
    <row r="219" customFormat="false" ht="15" hidden="false" customHeight="false" outlineLevel="0" collapsed="false">
      <c r="A219" s="11" t="s">
        <v>592</v>
      </c>
      <c r="B219" s="11" t="s">
        <v>593</v>
      </c>
      <c r="C219" s="11" t="n">
        <v>1</v>
      </c>
      <c r="D219" s="12" t="n">
        <v>2.6355</v>
      </c>
      <c r="E219" s="11" t="n">
        <v>1</v>
      </c>
      <c r="F219" s="12" t="n">
        <v>100</v>
      </c>
      <c r="G219" s="11" t="s">
        <v>207</v>
      </c>
      <c r="H219" s="10"/>
      <c r="I219" s="10"/>
    </row>
    <row r="220" customFormat="false" ht="15" hidden="false" customHeight="false" outlineLevel="0" collapsed="false">
      <c r="A220" s="11" t="s">
        <v>594</v>
      </c>
      <c r="B220" s="11" t="s">
        <v>595</v>
      </c>
      <c r="C220" s="11" t="n">
        <v>1</v>
      </c>
      <c r="D220" s="12" t="n">
        <v>15</v>
      </c>
      <c r="E220" s="11" t="n">
        <v>1</v>
      </c>
      <c r="F220" s="12" t="n">
        <v>150</v>
      </c>
      <c r="G220" s="11" t="s">
        <v>207</v>
      </c>
      <c r="H220" s="10"/>
      <c r="I220" s="10"/>
    </row>
    <row r="221" customFormat="false" ht="15" hidden="false" customHeight="false" outlineLevel="0" collapsed="false">
      <c r="A221" s="11" t="s">
        <v>596</v>
      </c>
      <c r="B221" s="11" t="s">
        <v>597</v>
      </c>
      <c r="C221" s="11" t="n">
        <v>1</v>
      </c>
      <c r="D221" s="12" t="n">
        <v>14.6217222222222</v>
      </c>
      <c r="E221" s="11" t="n">
        <v>1</v>
      </c>
      <c r="F221" s="12" t="n">
        <v>180</v>
      </c>
      <c r="G221" s="11" t="s">
        <v>207</v>
      </c>
      <c r="H221" s="10"/>
      <c r="I221" s="10"/>
    </row>
    <row r="222" customFormat="false" ht="15" hidden="false" customHeight="false" outlineLevel="0" collapsed="false">
      <c r="A222" s="11" t="s">
        <v>596</v>
      </c>
      <c r="B222" s="11" t="s">
        <v>598</v>
      </c>
      <c r="C222" s="11" t="n">
        <v>1</v>
      </c>
      <c r="D222" s="12" t="n">
        <v>14.6217222222222</v>
      </c>
      <c r="E222" s="11" t="n">
        <v>1</v>
      </c>
      <c r="F222" s="12" t="n">
        <v>180</v>
      </c>
      <c r="G222" s="11" t="s">
        <v>207</v>
      </c>
      <c r="H222" s="10"/>
      <c r="I222" s="10"/>
    </row>
    <row r="223" customFormat="false" ht="15" hidden="false" customHeight="false" outlineLevel="0" collapsed="false">
      <c r="A223" s="11" t="s">
        <v>596</v>
      </c>
      <c r="B223" s="11" t="s">
        <v>599</v>
      </c>
      <c r="C223" s="11" t="n">
        <v>1</v>
      </c>
      <c r="D223" s="12" t="n">
        <v>14.6217222222222</v>
      </c>
      <c r="E223" s="11" t="n">
        <v>1</v>
      </c>
      <c r="F223" s="12" t="n">
        <v>180</v>
      </c>
      <c r="G223" s="11" t="s">
        <v>207</v>
      </c>
      <c r="H223" s="10"/>
      <c r="I223" s="10"/>
    </row>
    <row r="224" customFormat="false" ht="15" hidden="false" customHeight="false" outlineLevel="0" collapsed="false">
      <c r="A224" s="11" t="s">
        <v>600</v>
      </c>
      <c r="B224" s="11" t="s">
        <v>601</v>
      </c>
      <c r="C224" s="11" t="n">
        <v>1</v>
      </c>
      <c r="D224" s="12" t="n">
        <v>245</v>
      </c>
      <c r="E224" s="11" t="n">
        <v>1</v>
      </c>
      <c r="F224" s="12" t="n">
        <v>1000</v>
      </c>
      <c r="G224" s="11" t="s">
        <v>207</v>
      </c>
      <c r="H224" s="10"/>
      <c r="I224" s="10"/>
    </row>
    <row r="225" customFormat="false" ht="15" hidden="false" customHeight="false" outlineLevel="0" collapsed="false">
      <c r="A225" s="11" t="s">
        <v>602</v>
      </c>
      <c r="B225" s="11" t="s">
        <v>602</v>
      </c>
      <c r="C225" s="11" t="n">
        <v>1</v>
      </c>
      <c r="D225" s="12" t="n">
        <v>20</v>
      </c>
      <c r="E225" s="11" t="n">
        <v>1</v>
      </c>
      <c r="F225" s="12" t="n">
        <v>300</v>
      </c>
      <c r="G225" s="11" t="s">
        <v>207</v>
      </c>
      <c r="H225" s="10"/>
      <c r="I225" s="10"/>
    </row>
    <row r="226" customFormat="false" ht="15" hidden="false" customHeight="false" outlineLevel="0" collapsed="false">
      <c r="A226" s="11" t="s">
        <v>603</v>
      </c>
      <c r="B226" s="11" t="s">
        <v>603</v>
      </c>
      <c r="C226" s="11" t="n">
        <v>1</v>
      </c>
      <c r="D226" s="12" t="n">
        <v>6.391</v>
      </c>
      <c r="E226" s="11" t="n">
        <v>1</v>
      </c>
      <c r="F226" s="12" t="n">
        <v>130</v>
      </c>
      <c r="G226" s="11" t="s">
        <v>207</v>
      </c>
      <c r="H226" s="10"/>
      <c r="I226" s="10"/>
    </row>
    <row r="227" customFormat="false" ht="15" hidden="false" customHeight="false" outlineLevel="0" collapsed="false">
      <c r="A227" s="11" t="s">
        <v>217</v>
      </c>
      <c r="B227" s="11" t="s">
        <v>604</v>
      </c>
      <c r="C227" s="11" t="n">
        <v>1</v>
      </c>
      <c r="D227" s="12" t="n">
        <v>80</v>
      </c>
      <c r="E227" s="11" t="n">
        <v>1</v>
      </c>
      <c r="F227" s="12" t="n">
        <v>1000</v>
      </c>
      <c r="G227" s="11" t="s">
        <v>605</v>
      </c>
      <c r="H227" s="10"/>
      <c r="I227" s="10"/>
    </row>
    <row r="228" customFormat="false" ht="15" hidden="false" customHeight="false" outlineLevel="0" collapsed="false">
      <c r="A228" s="11" t="s">
        <v>606</v>
      </c>
      <c r="B228" s="11" t="s">
        <v>607</v>
      </c>
      <c r="C228" s="11" t="n">
        <v>1</v>
      </c>
      <c r="D228" s="12" t="n">
        <v>35.145</v>
      </c>
      <c r="E228" s="11" t="n">
        <v>1</v>
      </c>
      <c r="F228" s="12" t="n">
        <v>1</v>
      </c>
      <c r="G228" s="11" t="s">
        <v>210</v>
      </c>
      <c r="H228" s="10"/>
      <c r="I228" s="10"/>
    </row>
    <row r="229" customFormat="false" ht="15" hidden="false" customHeight="false" outlineLevel="0" collapsed="false">
      <c r="A229" s="11" t="s">
        <v>289</v>
      </c>
      <c r="B229" s="11" t="s">
        <v>608</v>
      </c>
      <c r="C229" s="11" t="n">
        <v>1</v>
      </c>
      <c r="D229" s="12" t="n">
        <v>27</v>
      </c>
      <c r="E229" s="11" t="n">
        <v>1</v>
      </c>
      <c r="F229" s="12" t="n">
        <v>30</v>
      </c>
      <c r="G229" s="11" t="s">
        <v>210</v>
      </c>
      <c r="H229" s="10"/>
      <c r="I229" s="10"/>
    </row>
    <row r="230" customFormat="false" ht="15" hidden="false" customHeight="false" outlineLevel="0" collapsed="false">
      <c r="A230" s="11" t="s">
        <v>289</v>
      </c>
      <c r="B230" s="11" t="s">
        <v>609</v>
      </c>
      <c r="C230" s="11" t="n">
        <v>1</v>
      </c>
      <c r="D230" s="12" t="n">
        <v>27</v>
      </c>
      <c r="E230" s="11" t="n">
        <v>1</v>
      </c>
      <c r="F230" s="12" t="n">
        <v>30</v>
      </c>
      <c r="G230" s="11" t="s">
        <v>210</v>
      </c>
      <c r="H230" s="10"/>
      <c r="I230" s="10"/>
    </row>
    <row r="231" customFormat="false" ht="15" hidden="false" customHeight="false" outlineLevel="0" collapsed="false">
      <c r="A231" s="11" t="s">
        <v>289</v>
      </c>
      <c r="B231" s="11" t="s">
        <v>610</v>
      </c>
      <c r="C231" s="11" t="n">
        <v>1</v>
      </c>
      <c r="D231" s="12" t="n">
        <v>27</v>
      </c>
      <c r="E231" s="11" t="n">
        <v>1</v>
      </c>
      <c r="F231" s="12" t="n">
        <v>30</v>
      </c>
      <c r="G231" s="11" t="s">
        <v>210</v>
      </c>
      <c r="H231" s="10"/>
      <c r="I231" s="10"/>
    </row>
    <row r="232" customFormat="false" ht="15" hidden="false" customHeight="false" outlineLevel="0" collapsed="false">
      <c r="A232" s="11" t="s">
        <v>611</v>
      </c>
      <c r="B232" s="11" t="s">
        <v>612</v>
      </c>
      <c r="C232" s="11" t="n">
        <v>1</v>
      </c>
      <c r="D232" s="12" t="n">
        <v>247.5</v>
      </c>
      <c r="E232" s="11" t="n">
        <v>1</v>
      </c>
      <c r="F232" s="12" t="n">
        <v>50</v>
      </c>
      <c r="G232" s="11" t="s">
        <v>210</v>
      </c>
      <c r="H232" s="10"/>
      <c r="I232" s="10"/>
    </row>
    <row r="233" customFormat="false" ht="15" hidden="false" customHeight="false" outlineLevel="0" collapsed="false">
      <c r="A233" s="11" t="s">
        <v>613</v>
      </c>
      <c r="B233" s="11" t="s">
        <v>614</v>
      </c>
      <c r="C233" s="11" t="n">
        <v>1</v>
      </c>
      <c r="D233" s="12" t="n">
        <v>1.388</v>
      </c>
      <c r="E233" s="11" t="n">
        <v>1</v>
      </c>
      <c r="F233" s="12" t="n">
        <v>140</v>
      </c>
      <c r="G233" s="11" t="s">
        <v>207</v>
      </c>
      <c r="H233" s="10"/>
      <c r="I233" s="10"/>
    </row>
    <row r="234" customFormat="false" ht="15" hidden="false" customHeight="false" outlineLevel="0" collapsed="false">
      <c r="A234" s="11" t="s">
        <v>615</v>
      </c>
      <c r="B234" s="11" t="s">
        <v>616</v>
      </c>
      <c r="C234" s="11" t="n">
        <v>1</v>
      </c>
      <c r="D234" s="12" t="n">
        <v>5.99</v>
      </c>
      <c r="E234" s="11" t="n">
        <v>1</v>
      </c>
      <c r="F234" s="12" t="n">
        <v>150</v>
      </c>
      <c r="G234" s="11" t="s">
        <v>204</v>
      </c>
      <c r="H234" s="10"/>
      <c r="I234" s="10"/>
    </row>
    <row r="235" customFormat="false" ht="15" hidden="false" customHeight="false" outlineLevel="0" collapsed="false">
      <c r="A235" s="11" t="s">
        <v>617</v>
      </c>
      <c r="B235" s="11" t="s">
        <v>618</v>
      </c>
      <c r="C235" s="11" t="n">
        <v>1</v>
      </c>
      <c r="D235" s="12" t="n">
        <v>1.5</v>
      </c>
      <c r="E235" s="11" t="n">
        <v>1</v>
      </c>
      <c r="F235" s="12" t="n">
        <v>180</v>
      </c>
      <c r="G235" s="11" t="s">
        <v>207</v>
      </c>
      <c r="H235" s="10"/>
      <c r="I235" s="10"/>
    </row>
    <row r="236" customFormat="false" ht="15" hidden="false" customHeight="false" outlineLevel="0" collapsed="false">
      <c r="A236" s="11" t="s">
        <v>619</v>
      </c>
      <c r="B236" s="11" t="s">
        <v>620</v>
      </c>
      <c r="C236" s="11" t="n">
        <v>1</v>
      </c>
      <c r="D236" s="12" t="n">
        <v>14.985</v>
      </c>
      <c r="E236" s="11" t="n">
        <v>1</v>
      </c>
      <c r="F236" s="12" t="n">
        <v>100</v>
      </c>
      <c r="G236" s="11" t="s">
        <v>207</v>
      </c>
      <c r="H236" s="10"/>
      <c r="I236" s="10"/>
    </row>
    <row r="237" customFormat="false" ht="15" hidden="false" customHeight="false" outlineLevel="0" collapsed="false">
      <c r="A237" s="11" t="s">
        <v>619</v>
      </c>
      <c r="B237" s="11" t="s">
        <v>621</v>
      </c>
      <c r="C237" s="11" t="n">
        <v>1</v>
      </c>
      <c r="D237" s="12" t="n">
        <v>14.985</v>
      </c>
      <c r="E237" s="11" t="n">
        <v>1</v>
      </c>
      <c r="F237" s="12" t="n">
        <v>100</v>
      </c>
      <c r="G237" s="11" t="s">
        <v>207</v>
      </c>
      <c r="H237" s="10"/>
      <c r="I237" s="10"/>
    </row>
    <row r="238" customFormat="false" ht="15" hidden="false" customHeight="false" outlineLevel="0" collapsed="false">
      <c r="A238" s="11" t="s">
        <v>622</v>
      </c>
      <c r="B238" s="11" t="s">
        <v>623</v>
      </c>
      <c r="C238" s="11" t="n">
        <v>1</v>
      </c>
      <c r="D238" s="12" t="n">
        <v>13.72</v>
      </c>
      <c r="E238" s="11" t="n">
        <v>1</v>
      </c>
      <c r="F238" s="12" t="n">
        <v>350</v>
      </c>
      <c r="G238" s="11" t="s">
        <v>207</v>
      </c>
      <c r="H238" s="10"/>
      <c r="I238" s="10"/>
    </row>
    <row r="239" customFormat="false" ht="15" hidden="false" customHeight="false" outlineLevel="0" collapsed="false">
      <c r="A239" s="11" t="s">
        <v>624</v>
      </c>
      <c r="B239" s="11" t="s">
        <v>625</v>
      </c>
      <c r="C239" s="11" t="n">
        <v>1</v>
      </c>
      <c r="D239" s="12" t="n">
        <v>237</v>
      </c>
      <c r="E239" s="11" t="n">
        <v>1</v>
      </c>
      <c r="F239" s="12" t="n">
        <v>50</v>
      </c>
      <c r="G239" s="11" t="s">
        <v>210</v>
      </c>
      <c r="H239" s="10"/>
      <c r="I239" s="10"/>
    </row>
    <row r="240" customFormat="false" ht="15" hidden="false" customHeight="false" outlineLevel="0" collapsed="false">
      <c r="A240" s="11" t="s">
        <v>626</v>
      </c>
      <c r="B240" s="11" t="s">
        <v>176</v>
      </c>
      <c r="C240" s="11" t="n">
        <v>1</v>
      </c>
      <c r="D240" s="12" t="n">
        <v>6</v>
      </c>
      <c r="E240" s="11" t="n">
        <v>1</v>
      </c>
      <c r="F240" s="12" t="n">
        <v>1</v>
      </c>
      <c r="G240" s="11" t="s">
        <v>210</v>
      </c>
      <c r="H240" s="10"/>
      <c r="I240" s="10"/>
    </row>
    <row r="241" customFormat="false" ht="15" hidden="false" customHeight="false" outlineLevel="0" collapsed="false">
      <c r="A241" s="11" t="s">
        <v>627</v>
      </c>
      <c r="B241" s="11" t="s">
        <v>628</v>
      </c>
      <c r="C241" s="11" t="n">
        <v>1</v>
      </c>
      <c r="D241" s="12" t="n">
        <v>12.9</v>
      </c>
      <c r="E241" s="11" t="n">
        <v>1</v>
      </c>
      <c r="F241" s="12" t="n">
        <v>1000</v>
      </c>
      <c r="G241" s="11" t="s">
        <v>207</v>
      </c>
      <c r="H241" s="10"/>
      <c r="I241" s="10"/>
    </row>
    <row r="242" customFormat="false" ht="15" hidden="false" customHeight="false" outlineLevel="0" collapsed="false">
      <c r="A242" s="11" t="s">
        <v>629</v>
      </c>
      <c r="B242" s="11" t="s">
        <v>630</v>
      </c>
      <c r="C242" s="11" t="n">
        <v>1</v>
      </c>
      <c r="D242" s="12" t="n">
        <v>10</v>
      </c>
      <c r="E242" s="11" t="n">
        <v>1</v>
      </c>
      <c r="F242" s="12" t="n">
        <v>1000</v>
      </c>
      <c r="G242" s="11" t="s">
        <v>207</v>
      </c>
      <c r="H242" s="10"/>
      <c r="I242" s="10"/>
    </row>
    <row r="243" customFormat="false" ht="15" hidden="false" customHeight="false" outlineLevel="0" collapsed="false">
      <c r="A243" s="11" t="s">
        <v>631</v>
      </c>
      <c r="B243" s="11" t="s">
        <v>632</v>
      </c>
      <c r="C243" s="11" t="n">
        <v>1</v>
      </c>
      <c r="D243" s="12" t="n">
        <v>4.99</v>
      </c>
      <c r="E243" s="11" t="n">
        <v>1</v>
      </c>
      <c r="F243" s="12" t="n">
        <v>100</v>
      </c>
      <c r="G243" s="11" t="s">
        <v>207</v>
      </c>
      <c r="H243" s="10"/>
      <c r="I243" s="10"/>
    </row>
    <row r="244" customFormat="false" ht="15" hidden="false" customHeight="false" outlineLevel="0" collapsed="false">
      <c r="A244" s="11" t="s">
        <v>633</v>
      </c>
      <c r="B244" s="11" t="s">
        <v>634</v>
      </c>
      <c r="C244" s="11" t="n">
        <v>1</v>
      </c>
      <c r="D244" s="12" t="n">
        <v>15.9</v>
      </c>
      <c r="E244" s="11" t="n">
        <v>1</v>
      </c>
      <c r="F244" s="12" t="n">
        <v>150</v>
      </c>
      <c r="G244" s="11" t="s">
        <v>207</v>
      </c>
      <c r="H244" s="10"/>
      <c r="I244" s="10"/>
    </row>
    <row r="245" customFormat="false" ht="15" hidden="false" customHeight="false" outlineLevel="0" collapsed="false">
      <c r="A245" s="11" t="s">
        <v>633</v>
      </c>
      <c r="B245" s="11" t="s">
        <v>633</v>
      </c>
      <c r="C245" s="11" t="n">
        <v>1</v>
      </c>
      <c r="D245" s="12" t="n">
        <v>15.9</v>
      </c>
      <c r="E245" s="11" t="n">
        <v>1</v>
      </c>
      <c r="F245" s="12" t="n">
        <v>150</v>
      </c>
      <c r="G245" s="11" t="s">
        <v>207</v>
      </c>
      <c r="H245" s="10"/>
      <c r="I245" s="10"/>
    </row>
    <row r="246" customFormat="false" ht="15" hidden="false" customHeight="false" outlineLevel="0" collapsed="false">
      <c r="A246" s="11" t="s">
        <v>635</v>
      </c>
      <c r="B246" s="11" t="s">
        <v>636</v>
      </c>
      <c r="C246" s="11" t="n">
        <v>1</v>
      </c>
      <c r="D246" s="12" t="n">
        <v>10</v>
      </c>
      <c r="E246" s="11" t="n">
        <v>1</v>
      </c>
      <c r="F246" s="12" t="n">
        <v>1000</v>
      </c>
      <c r="G246" s="11" t="s">
        <v>207</v>
      </c>
      <c r="H246" s="10"/>
      <c r="I246" s="10"/>
    </row>
    <row r="247" customFormat="false" ht="15" hidden="false" customHeight="false" outlineLevel="0" collapsed="false">
      <c r="A247" s="11" t="s">
        <v>430</v>
      </c>
      <c r="B247" s="11" t="s">
        <v>637</v>
      </c>
      <c r="C247" s="11" t="n">
        <v>1</v>
      </c>
      <c r="D247" s="12" t="n">
        <v>30</v>
      </c>
      <c r="E247" s="11" t="n">
        <v>1</v>
      </c>
      <c r="F247" s="12" t="n">
        <v>500</v>
      </c>
      <c r="G247" s="11" t="s">
        <v>207</v>
      </c>
      <c r="H247" s="10"/>
      <c r="I247" s="10"/>
    </row>
    <row r="248" customFormat="false" ht="15" hidden="false" customHeight="false" outlineLevel="0" collapsed="false">
      <c r="A248" s="11" t="s">
        <v>430</v>
      </c>
      <c r="B248" s="11" t="s">
        <v>638</v>
      </c>
      <c r="C248" s="11" t="n">
        <v>1</v>
      </c>
      <c r="D248" s="12" t="n">
        <v>30</v>
      </c>
      <c r="E248" s="11" t="n">
        <v>1</v>
      </c>
      <c r="F248" s="12" t="n">
        <v>500</v>
      </c>
      <c r="G248" s="11" t="s">
        <v>207</v>
      </c>
      <c r="H248" s="10"/>
      <c r="I248" s="10"/>
    </row>
    <row r="249" customFormat="false" ht="15" hidden="false" customHeight="false" outlineLevel="0" collapsed="false">
      <c r="A249" s="11" t="s">
        <v>430</v>
      </c>
      <c r="B249" s="11" t="s">
        <v>639</v>
      </c>
      <c r="C249" s="11" t="n">
        <v>1</v>
      </c>
      <c r="D249" s="12" t="n">
        <v>30</v>
      </c>
      <c r="E249" s="11" t="n">
        <v>1</v>
      </c>
      <c r="F249" s="12" t="n">
        <v>500</v>
      </c>
      <c r="G249" s="11" t="s">
        <v>207</v>
      </c>
      <c r="H249" s="10"/>
      <c r="I249" s="10"/>
    </row>
    <row r="250" customFormat="false" ht="15" hidden="false" customHeight="false" outlineLevel="0" collapsed="false">
      <c r="A250" s="11" t="s">
        <v>430</v>
      </c>
      <c r="B250" s="11" t="s">
        <v>640</v>
      </c>
      <c r="C250" s="11" t="n">
        <v>1</v>
      </c>
      <c r="D250" s="12" t="n">
        <v>30</v>
      </c>
      <c r="E250" s="11" t="n">
        <v>1</v>
      </c>
      <c r="F250" s="12" t="n">
        <v>500</v>
      </c>
      <c r="G250" s="11" t="s">
        <v>207</v>
      </c>
      <c r="H250" s="10"/>
      <c r="I250" s="10"/>
    </row>
    <row r="251" customFormat="false" ht="15" hidden="false" customHeight="false" outlineLevel="0" collapsed="false">
      <c r="A251" s="11" t="s">
        <v>430</v>
      </c>
      <c r="B251" s="11" t="s">
        <v>641</v>
      </c>
      <c r="C251" s="11" t="n">
        <v>1</v>
      </c>
      <c r="D251" s="12" t="n">
        <v>30</v>
      </c>
      <c r="E251" s="11" t="n">
        <v>1</v>
      </c>
      <c r="F251" s="12" t="n">
        <v>500</v>
      </c>
      <c r="G251" s="11" t="s">
        <v>207</v>
      </c>
      <c r="H251" s="10"/>
      <c r="I251" s="10"/>
    </row>
    <row r="252" customFormat="false" ht="15" hidden="false" customHeight="false" outlineLevel="0" collapsed="false">
      <c r="A252" s="11" t="s">
        <v>642</v>
      </c>
      <c r="B252" s="11" t="s">
        <v>643</v>
      </c>
      <c r="C252" s="11" t="n">
        <v>1</v>
      </c>
      <c r="D252" s="12" t="n">
        <v>0.85</v>
      </c>
      <c r="E252" s="11" t="n">
        <v>1</v>
      </c>
      <c r="F252" s="12" t="n">
        <v>170</v>
      </c>
      <c r="G252" s="11" t="s">
        <v>207</v>
      </c>
      <c r="H252" s="10"/>
      <c r="I252" s="10"/>
    </row>
    <row r="253" customFormat="false" ht="15" hidden="false" customHeight="false" outlineLevel="0" collapsed="false">
      <c r="A253" s="11" t="s">
        <v>644</v>
      </c>
      <c r="B253" s="11" t="s">
        <v>645</v>
      </c>
      <c r="C253" s="11" t="n">
        <v>1</v>
      </c>
      <c r="D253" s="12" t="n">
        <v>16</v>
      </c>
      <c r="E253" s="11" t="n">
        <v>1</v>
      </c>
      <c r="F253" s="12" t="n">
        <v>1000</v>
      </c>
      <c r="G253" s="11" t="s">
        <v>207</v>
      </c>
      <c r="H253" s="10"/>
      <c r="I253" s="10"/>
    </row>
    <row r="254" customFormat="false" ht="15" hidden="false" customHeight="false" outlineLevel="0" collapsed="false">
      <c r="A254" s="11" t="s">
        <v>646</v>
      </c>
      <c r="B254" s="11" t="s">
        <v>647</v>
      </c>
      <c r="C254" s="11" t="n">
        <v>1</v>
      </c>
      <c r="D254" s="12" t="n">
        <v>5</v>
      </c>
      <c r="E254" s="11" t="n">
        <v>1</v>
      </c>
      <c r="F254" s="12" t="n">
        <v>100</v>
      </c>
      <c r="G254" s="11" t="s">
        <v>207</v>
      </c>
      <c r="H254" s="10"/>
      <c r="I254" s="10"/>
    </row>
    <row r="255" customFormat="false" ht="15" hidden="false" customHeight="false" outlineLevel="0" collapsed="false">
      <c r="A255" s="11" t="s">
        <v>648</v>
      </c>
      <c r="B255" s="11" t="s">
        <v>649</v>
      </c>
      <c r="C255" s="11" t="n">
        <v>1</v>
      </c>
      <c r="D255" s="12" t="n">
        <v>6</v>
      </c>
      <c r="E255" s="11" t="n">
        <v>1</v>
      </c>
      <c r="F255" s="12" t="n">
        <v>1</v>
      </c>
      <c r="G255" s="11" t="s">
        <v>210</v>
      </c>
      <c r="H255" s="10"/>
      <c r="I255" s="10"/>
    </row>
    <row r="256" customFormat="false" ht="15" hidden="false" customHeight="false" outlineLevel="0" collapsed="false">
      <c r="A256" s="11" t="s">
        <v>330</v>
      </c>
      <c r="B256" s="11" t="s">
        <v>650</v>
      </c>
      <c r="C256" s="11" t="n">
        <v>1</v>
      </c>
      <c r="D256" s="12" t="n">
        <v>30</v>
      </c>
      <c r="E256" s="11" t="n">
        <v>1</v>
      </c>
      <c r="F256" s="12" t="n">
        <v>1000</v>
      </c>
      <c r="G256" s="11" t="s">
        <v>207</v>
      </c>
      <c r="H256" s="10"/>
      <c r="I256" s="10"/>
    </row>
    <row r="257" customFormat="false" ht="15" hidden="false" customHeight="false" outlineLevel="0" collapsed="false">
      <c r="A257" s="11" t="s">
        <v>651</v>
      </c>
      <c r="B257" s="11" t="s">
        <v>652</v>
      </c>
      <c r="C257" s="11" t="n">
        <v>1</v>
      </c>
      <c r="D257" s="12" t="n">
        <v>14.99</v>
      </c>
      <c r="E257" s="11" t="n">
        <v>1</v>
      </c>
      <c r="F257" s="12" t="n">
        <v>200</v>
      </c>
      <c r="G257" s="11" t="s">
        <v>207</v>
      </c>
      <c r="H257" s="10"/>
      <c r="I257" s="10"/>
    </row>
    <row r="258" customFormat="false" ht="15" hidden="false" customHeight="false" outlineLevel="0" collapsed="false">
      <c r="A258" s="11" t="s">
        <v>653</v>
      </c>
      <c r="B258" s="11" t="s">
        <v>654</v>
      </c>
      <c r="C258" s="11" t="n">
        <v>1</v>
      </c>
      <c r="D258" s="12" t="n">
        <v>60</v>
      </c>
      <c r="E258" s="11" t="n">
        <v>1</v>
      </c>
      <c r="F258" s="12" t="n">
        <v>1000</v>
      </c>
      <c r="G258" s="11" t="s">
        <v>207</v>
      </c>
      <c r="H258" s="10"/>
      <c r="I258" s="10"/>
    </row>
    <row r="259" customFormat="false" ht="15" hidden="false" customHeight="false" outlineLevel="0" collapsed="false">
      <c r="A259" s="11" t="s">
        <v>655</v>
      </c>
      <c r="B259" s="11" t="s">
        <v>656</v>
      </c>
      <c r="C259" s="11" t="n">
        <v>1</v>
      </c>
      <c r="D259" s="12" t="n">
        <v>7.99</v>
      </c>
      <c r="E259" s="11" t="n">
        <v>1</v>
      </c>
      <c r="F259" s="12" t="n">
        <v>1000</v>
      </c>
      <c r="G259" s="11" t="s">
        <v>207</v>
      </c>
      <c r="H259" s="10"/>
      <c r="I259" s="10"/>
    </row>
    <row r="260" customFormat="false" ht="15" hidden="false" customHeight="false" outlineLevel="0" collapsed="false">
      <c r="A260" s="11" t="s">
        <v>657</v>
      </c>
      <c r="B260" s="11" t="s">
        <v>658</v>
      </c>
      <c r="C260" s="11" t="n">
        <v>1</v>
      </c>
      <c r="D260" s="12" t="n">
        <v>16</v>
      </c>
      <c r="E260" s="11" t="n">
        <v>1</v>
      </c>
      <c r="F260" s="12" t="n">
        <v>1000</v>
      </c>
      <c r="G260" s="11" t="s">
        <v>207</v>
      </c>
      <c r="H260" s="10"/>
      <c r="I260" s="10"/>
    </row>
    <row r="261" customFormat="false" ht="15" hidden="false" customHeight="false" outlineLevel="0" collapsed="false">
      <c r="A261" s="11" t="s">
        <v>659</v>
      </c>
      <c r="B261" s="11" t="s">
        <v>660</v>
      </c>
      <c r="C261" s="11" t="n">
        <v>1</v>
      </c>
      <c r="D261" s="12" t="n">
        <v>7.99</v>
      </c>
      <c r="E261" s="11" t="n">
        <v>1</v>
      </c>
      <c r="F261" s="12" t="n">
        <v>300</v>
      </c>
      <c r="G261" s="11" t="s">
        <v>207</v>
      </c>
      <c r="H261" s="10"/>
      <c r="I261" s="10"/>
    </row>
    <row r="262" customFormat="false" ht="15" hidden="false" customHeight="false" outlineLevel="0" collapsed="false">
      <c r="A262" s="11" t="s">
        <v>661</v>
      </c>
      <c r="B262" s="11" t="s">
        <v>662</v>
      </c>
      <c r="C262" s="11" t="n">
        <v>1</v>
      </c>
      <c r="D262" s="12" t="n">
        <v>6.4</v>
      </c>
      <c r="E262" s="11" t="n">
        <v>1</v>
      </c>
      <c r="F262" s="12" t="n">
        <v>300</v>
      </c>
      <c r="G262" s="11" t="s">
        <v>207</v>
      </c>
      <c r="H262" s="10"/>
      <c r="I262" s="10"/>
    </row>
    <row r="263" customFormat="false" ht="15" hidden="false" customHeight="false" outlineLevel="0" collapsed="false">
      <c r="A263" s="11" t="s">
        <v>663</v>
      </c>
      <c r="B263" s="11" t="s">
        <v>664</v>
      </c>
      <c r="C263" s="11" t="n">
        <v>1</v>
      </c>
      <c r="D263" s="12" t="n">
        <v>5.3</v>
      </c>
      <c r="E263" s="11" t="n">
        <v>1</v>
      </c>
      <c r="F263" s="12" t="n">
        <v>390</v>
      </c>
      <c r="G263" s="11" t="s">
        <v>207</v>
      </c>
      <c r="H263" s="10"/>
      <c r="I263" s="10"/>
    </row>
    <row r="264" customFormat="false" ht="15" hidden="false" customHeight="false" outlineLevel="0" collapsed="false">
      <c r="A264" s="11" t="s">
        <v>665</v>
      </c>
      <c r="B264" s="11" t="s">
        <v>666</v>
      </c>
      <c r="C264" s="11" t="n">
        <v>1</v>
      </c>
      <c r="D264" s="12" t="n">
        <v>4.40074074074074</v>
      </c>
      <c r="E264" s="11" t="n">
        <v>1</v>
      </c>
      <c r="F264" s="12" t="n">
        <v>2</v>
      </c>
      <c r="G264" s="11" t="s">
        <v>210</v>
      </c>
      <c r="H264" s="10"/>
      <c r="I264" s="10"/>
    </row>
    <row r="265" customFormat="false" ht="15" hidden="false" customHeight="false" outlineLevel="0" collapsed="false">
      <c r="A265" s="11" t="s">
        <v>667</v>
      </c>
      <c r="B265" s="11" t="s">
        <v>668</v>
      </c>
      <c r="C265" s="11" t="n">
        <v>1</v>
      </c>
      <c r="D265" s="12" t="n">
        <v>5.5</v>
      </c>
      <c r="E265" s="11" t="n">
        <v>1</v>
      </c>
      <c r="F265" s="12" t="n">
        <v>1</v>
      </c>
      <c r="G265" s="11" t="s">
        <v>210</v>
      </c>
      <c r="H265" s="10"/>
      <c r="I265" s="10"/>
    </row>
    <row r="266" customFormat="false" ht="15" hidden="false" customHeight="false" outlineLevel="0" collapsed="false">
      <c r="A266" s="11" t="s">
        <v>669</v>
      </c>
      <c r="B266" s="11" t="s">
        <v>185</v>
      </c>
      <c r="C266" s="11" t="n">
        <v>1</v>
      </c>
      <c r="D266" s="12" t="n">
        <v>5.5</v>
      </c>
      <c r="E266" s="11" t="n">
        <v>1</v>
      </c>
      <c r="F266" s="12" t="n">
        <v>1</v>
      </c>
      <c r="G266" s="11" t="s">
        <v>210</v>
      </c>
      <c r="H266" s="10"/>
      <c r="I266" s="10"/>
    </row>
    <row r="267" customFormat="false" ht="15" hidden="false" customHeight="false" outlineLevel="0" collapsed="false">
      <c r="A267" s="11" t="s">
        <v>670</v>
      </c>
      <c r="B267" s="11" t="s">
        <v>671</v>
      </c>
      <c r="C267" s="11" t="n">
        <v>1</v>
      </c>
      <c r="D267" s="12" t="n">
        <v>104.37</v>
      </c>
      <c r="E267" s="11" t="n">
        <v>1</v>
      </c>
      <c r="F267" s="12" t="n">
        <v>1</v>
      </c>
      <c r="G267" s="11" t="s">
        <v>210</v>
      </c>
      <c r="H267" s="10"/>
      <c r="I267" s="10"/>
    </row>
    <row r="268" customFormat="false" ht="15" hidden="false" customHeight="false" outlineLevel="0" collapsed="false">
      <c r="A268" s="11" t="s">
        <v>672</v>
      </c>
      <c r="B268" s="11" t="s">
        <v>673</v>
      </c>
      <c r="C268" s="11" t="n">
        <v>1</v>
      </c>
      <c r="D268" s="12" t="n">
        <v>5.5</v>
      </c>
      <c r="E268" s="11" t="n">
        <v>1</v>
      </c>
      <c r="F268" s="12" t="n">
        <v>1</v>
      </c>
      <c r="G268" s="11" t="s">
        <v>210</v>
      </c>
      <c r="H268" s="10"/>
      <c r="I268" s="10"/>
    </row>
    <row r="269" customFormat="false" ht="15" hidden="false" customHeight="false" outlineLevel="0" collapsed="false">
      <c r="A269" s="11" t="s">
        <v>674</v>
      </c>
      <c r="B269" s="11" t="s">
        <v>675</v>
      </c>
      <c r="C269" s="11" t="n">
        <v>1</v>
      </c>
      <c r="D269" s="12" t="n">
        <v>5.5</v>
      </c>
      <c r="E269" s="11" t="n">
        <v>1</v>
      </c>
      <c r="F269" s="12" t="n">
        <v>1</v>
      </c>
      <c r="G269" s="11" t="s">
        <v>210</v>
      </c>
      <c r="H269" s="10"/>
      <c r="I269" s="10"/>
    </row>
    <row r="270" customFormat="false" ht="15" hidden="false" customHeight="false" outlineLevel="0" collapsed="false">
      <c r="A270" s="11" t="s">
        <v>676</v>
      </c>
      <c r="B270" s="11" t="s">
        <v>677</v>
      </c>
      <c r="C270" s="11" t="n">
        <v>1</v>
      </c>
      <c r="D270" s="12" t="n">
        <v>167.4</v>
      </c>
      <c r="E270" s="11" t="n">
        <v>1</v>
      </c>
      <c r="F270" s="12" t="n">
        <v>50</v>
      </c>
      <c r="G270" s="11" t="s">
        <v>210</v>
      </c>
      <c r="H270" s="10"/>
      <c r="I270" s="10"/>
    </row>
    <row r="271" customFormat="false" ht="15" hidden="false" customHeight="false" outlineLevel="0" collapsed="false">
      <c r="A271" s="11" t="s">
        <v>678</v>
      </c>
      <c r="B271" s="11" t="s">
        <v>679</v>
      </c>
      <c r="C271" s="11" t="n">
        <v>1</v>
      </c>
      <c r="D271" s="12" t="n">
        <v>144.97</v>
      </c>
      <c r="E271" s="11" t="n">
        <v>1</v>
      </c>
      <c r="F271" s="12" t="n">
        <v>50</v>
      </c>
      <c r="G271" s="11" t="s">
        <v>210</v>
      </c>
      <c r="H271" s="10"/>
      <c r="I271" s="10"/>
    </row>
    <row r="272" customFormat="false" ht="15" hidden="false" customHeight="false" outlineLevel="0" collapsed="false">
      <c r="A272" s="11" t="s">
        <v>680</v>
      </c>
      <c r="B272" s="11" t="s">
        <v>681</v>
      </c>
      <c r="C272" s="11" t="n">
        <v>1</v>
      </c>
      <c r="D272" s="12" t="n">
        <v>315</v>
      </c>
      <c r="E272" s="11" t="n">
        <v>1</v>
      </c>
      <c r="F272" s="12" t="n">
        <v>1000</v>
      </c>
      <c r="G272" s="11" t="s">
        <v>207</v>
      </c>
      <c r="H272" s="10"/>
      <c r="I272" s="10"/>
    </row>
    <row r="273" customFormat="false" ht="15" hidden="false" customHeight="false" outlineLevel="0" collapsed="false">
      <c r="A273" s="11" t="s">
        <v>682</v>
      </c>
      <c r="B273" s="11" t="s">
        <v>683</v>
      </c>
      <c r="C273" s="11" t="n">
        <v>1</v>
      </c>
      <c r="D273" s="12" t="n">
        <v>32</v>
      </c>
      <c r="E273" s="11" t="n">
        <v>1</v>
      </c>
      <c r="F273" s="12" t="n">
        <v>1000</v>
      </c>
      <c r="G273" s="11" t="s">
        <v>207</v>
      </c>
      <c r="H273" s="10"/>
      <c r="I273" s="10"/>
    </row>
    <row r="274" customFormat="false" ht="15" hidden="false" customHeight="false" outlineLevel="0" collapsed="false">
      <c r="A274" s="11" t="s">
        <v>684</v>
      </c>
      <c r="B274" s="11" t="s">
        <v>685</v>
      </c>
      <c r="C274" s="11" t="n">
        <v>1</v>
      </c>
      <c r="D274" s="12" t="n">
        <v>62</v>
      </c>
      <c r="E274" s="11" t="n">
        <v>1</v>
      </c>
      <c r="F274" s="12" t="n">
        <v>1000</v>
      </c>
      <c r="G274" s="11" t="s">
        <v>207</v>
      </c>
      <c r="H274" s="10"/>
      <c r="I274" s="10"/>
    </row>
    <row r="275" customFormat="false" ht="15" hidden="false" customHeight="false" outlineLevel="0" collapsed="false">
      <c r="A275" s="11" t="s">
        <v>686</v>
      </c>
      <c r="B275" s="11" t="s">
        <v>687</v>
      </c>
      <c r="C275" s="11" t="n">
        <v>1</v>
      </c>
      <c r="D275" s="12" t="n">
        <v>48</v>
      </c>
      <c r="E275" s="11" t="n">
        <v>1</v>
      </c>
      <c r="F275" s="12" t="n">
        <v>1000</v>
      </c>
      <c r="G275" s="11" t="s">
        <v>207</v>
      </c>
      <c r="H275" s="10"/>
      <c r="I275" s="10"/>
    </row>
    <row r="276" customFormat="false" ht="15" hidden="false" customHeight="false" outlineLevel="0" collapsed="false">
      <c r="A276" s="11" t="s">
        <v>688</v>
      </c>
      <c r="B276" s="11" t="s">
        <v>689</v>
      </c>
      <c r="C276" s="11" t="n">
        <v>1</v>
      </c>
      <c r="D276" s="12" t="n">
        <v>14.79</v>
      </c>
      <c r="E276" s="11" t="n">
        <v>1</v>
      </c>
      <c r="F276" s="12" t="n">
        <v>600</v>
      </c>
      <c r="G276" s="11" t="s">
        <v>204</v>
      </c>
      <c r="H276" s="10"/>
      <c r="I276" s="10"/>
    </row>
    <row r="277" customFormat="false" ht="15" hidden="false" customHeight="false" outlineLevel="0" collapsed="false">
      <c r="A277" s="11" t="s">
        <v>690</v>
      </c>
      <c r="B277" s="11" t="s">
        <v>691</v>
      </c>
      <c r="C277" s="11" t="n">
        <v>1</v>
      </c>
      <c r="D277" s="12" t="n">
        <v>5.19</v>
      </c>
      <c r="E277" s="11" t="n">
        <v>1</v>
      </c>
      <c r="F277" s="12" t="n">
        <v>200</v>
      </c>
      <c r="G277" s="11" t="s">
        <v>207</v>
      </c>
      <c r="H277" s="10"/>
      <c r="I277" s="10"/>
    </row>
    <row r="278" customFormat="false" ht="15" hidden="false" customHeight="false" outlineLevel="0" collapsed="false">
      <c r="A278" s="11" t="s">
        <v>690</v>
      </c>
      <c r="B278" s="11" t="s">
        <v>692</v>
      </c>
      <c r="C278" s="11" t="n">
        <v>1</v>
      </c>
      <c r="D278" s="12" t="n">
        <v>5.19</v>
      </c>
      <c r="E278" s="11" t="n">
        <v>1</v>
      </c>
      <c r="F278" s="12" t="n">
        <v>200</v>
      </c>
      <c r="G278" s="11" t="s">
        <v>207</v>
      </c>
      <c r="H278" s="10"/>
      <c r="I278" s="10"/>
    </row>
    <row r="279" customFormat="false" ht="15" hidden="false" customHeight="false" outlineLevel="0" collapsed="false">
      <c r="A279" s="11" t="s">
        <v>693</v>
      </c>
      <c r="B279" s="11" t="s">
        <v>694</v>
      </c>
      <c r="C279" s="11" t="n">
        <v>1</v>
      </c>
      <c r="D279" s="12" t="n">
        <v>80</v>
      </c>
      <c r="E279" s="11" t="n">
        <v>1</v>
      </c>
      <c r="F279" s="12" t="n">
        <v>1000</v>
      </c>
      <c r="G279" s="11" t="s">
        <v>207</v>
      </c>
      <c r="H279" s="10"/>
      <c r="I279" s="10"/>
    </row>
    <row r="280" customFormat="false" ht="15" hidden="false" customHeight="false" outlineLevel="0" collapsed="false">
      <c r="A280" s="11" t="s">
        <v>695</v>
      </c>
      <c r="B280" s="11" t="s">
        <v>696</v>
      </c>
      <c r="C280" s="11" t="n">
        <v>1</v>
      </c>
      <c r="D280" s="12" t="n">
        <v>35</v>
      </c>
      <c r="E280" s="11" t="n">
        <v>1</v>
      </c>
      <c r="F280" s="12" t="n">
        <v>1000</v>
      </c>
      <c r="G280" s="11" t="s">
        <v>207</v>
      </c>
      <c r="H280" s="10"/>
      <c r="I280" s="10"/>
    </row>
    <row r="281" customFormat="false" ht="15" hidden="false" customHeight="false" outlineLevel="0" collapsed="false">
      <c r="A281" s="11" t="s">
        <v>697</v>
      </c>
      <c r="B281" s="11" t="s">
        <v>698</v>
      </c>
      <c r="C281" s="11" t="n">
        <v>1</v>
      </c>
      <c r="D281" s="12" t="n">
        <v>48</v>
      </c>
      <c r="E281" s="11" t="n">
        <v>1</v>
      </c>
      <c r="F281" s="12" t="n">
        <v>1000</v>
      </c>
      <c r="G281" s="11" t="s">
        <v>207</v>
      </c>
      <c r="H281" s="10"/>
      <c r="I281" s="10"/>
    </row>
    <row r="282" customFormat="false" ht="15" hidden="false" customHeight="false" outlineLevel="0" collapsed="false">
      <c r="A282" s="11" t="s">
        <v>699</v>
      </c>
      <c r="B282" s="11" t="s">
        <v>700</v>
      </c>
      <c r="C282" s="11" t="n">
        <v>1</v>
      </c>
      <c r="D282" s="12" t="n">
        <v>70</v>
      </c>
      <c r="E282" s="11" t="n">
        <v>1</v>
      </c>
      <c r="F282" s="12" t="n">
        <v>1000</v>
      </c>
      <c r="G282" s="11" t="s">
        <v>207</v>
      </c>
      <c r="H282" s="10"/>
      <c r="I282" s="10"/>
    </row>
    <row r="283" customFormat="false" ht="15" hidden="false" customHeight="false" outlineLevel="0" collapsed="false">
      <c r="A283" s="11" t="s">
        <v>701</v>
      </c>
      <c r="B283" s="11" t="s">
        <v>702</v>
      </c>
      <c r="C283" s="11" t="n">
        <v>1</v>
      </c>
      <c r="D283" s="12" t="n">
        <v>8.0366</v>
      </c>
      <c r="E283" s="11" t="n">
        <v>1</v>
      </c>
      <c r="F283" s="12" t="n">
        <v>140</v>
      </c>
      <c r="G283" s="11" t="s">
        <v>207</v>
      </c>
      <c r="H283" s="10"/>
      <c r="I283" s="10"/>
    </row>
    <row r="284" customFormat="false" ht="15" hidden="false" customHeight="false" outlineLevel="0" collapsed="false">
      <c r="A284" s="11" t="s">
        <v>703</v>
      </c>
      <c r="B284" s="11" t="s">
        <v>704</v>
      </c>
      <c r="C284" s="11" t="n">
        <v>1</v>
      </c>
      <c r="D284" s="12" t="n">
        <v>56</v>
      </c>
      <c r="E284" s="11" t="n">
        <v>1</v>
      </c>
      <c r="F284" s="12" t="n">
        <v>1000</v>
      </c>
      <c r="G284" s="11" t="s">
        <v>207</v>
      </c>
      <c r="H284" s="10"/>
      <c r="I284" s="10"/>
    </row>
    <row r="285" customFormat="false" ht="15" hidden="false" customHeight="false" outlineLevel="0" collapsed="false">
      <c r="A285" s="11" t="s">
        <v>705</v>
      </c>
      <c r="B285" s="11" t="s">
        <v>706</v>
      </c>
      <c r="C285" s="11" t="n">
        <v>1</v>
      </c>
      <c r="D285" s="12" t="n">
        <v>46.7840388888889</v>
      </c>
      <c r="E285" s="11" t="n">
        <v>1</v>
      </c>
      <c r="F285" s="12" t="n">
        <v>1000</v>
      </c>
      <c r="G285" s="11" t="s">
        <v>207</v>
      </c>
      <c r="H285" s="10"/>
      <c r="I285" s="10"/>
    </row>
    <row r="286" customFormat="false" ht="15" hidden="false" customHeight="false" outlineLevel="0" collapsed="false">
      <c r="A286" s="11" t="s">
        <v>707</v>
      </c>
      <c r="B286" s="11" t="s">
        <v>708</v>
      </c>
      <c r="C286" s="11" t="n">
        <v>1</v>
      </c>
      <c r="D286" s="12" t="n">
        <v>41.9210944444444</v>
      </c>
      <c r="E286" s="11" t="n">
        <v>1</v>
      </c>
      <c r="F286" s="12" t="n">
        <v>750</v>
      </c>
      <c r="G286" s="11" t="s">
        <v>207</v>
      </c>
      <c r="H286" s="10"/>
      <c r="I286" s="10"/>
    </row>
    <row r="287" customFormat="false" ht="15" hidden="false" customHeight="false" outlineLevel="0" collapsed="false">
      <c r="A287" s="11" t="s">
        <v>709</v>
      </c>
      <c r="B287" s="11" t="s">
        <v>709</v>
      </c>
      <c r="C287" s="11" t="n">
        <v>1</v>
      </c>
      <c r="D287" s="12" t="n">
        <v>2.03258333333333</v>
      </c>
      <c r="E287" s="11" t="n">
        <v>1</v>
      </c>
      <c r="F287" s="12" t="n">
        <v>150</v>
      </c>
      <c r="G287" s="11" t="s">
        <v>207</v>
      </c>
      <c r="H287" s="10"/>
      <c r="I287" s="10"/>
    </row>
    <row r="288" customFormat="false" ht="15" hidden="false" customHeight="false" outlineLevel="0" collapsed="false">
      <c r="A288" s="11" t="s">
        <v>710</v>
      </c>
      <c r="B288" s="11" t="s">
        <v>331</v>
      </c>
      <c r="C288" s="11" t="n">
        <v>1</v>
      </c>
      <c r="D288" s="12" t="n">
        <v>30</v>
      </c>
      <c r="E288" s="11" t="n">
        <v>1</v>
      </c>
      <c r="F288" s="12" t="n">
        <v>1000</v>
      </c>
      <c r="G288" s="11" t="s">
        <v>207</v>
      </c>
      <c r="H288" s="10"/>
      <c r="I288" s="10"/>
    </row>
    <row r="289" customFormat="false" ht="15" hidden="false" customHeight="false" outlineLevel="0" collapsed="false">
      <c r="A289" s="11" t="s">
        <v>278</v>
      </c>
      <c r="B289" s="11" t="s">
        <v>711</v>
      </c>
      <c r="C289" s="11" t="n">
        <v>1</v>
      </c>
      <c r="D289" s="12" t="n">
        <v>38</v>
      </c>
      <c r="E289" s="11" t="n">
        <v>1</v>
      </c>
      <c r="F289" s="12" t="n">
        <v>1000</v>
      </c>
      <c r="G289" s="11" t="s">
        <v>207</v>
      </c>
      <c r="H289" s="10"/>
      <c r="I289" s="10"/>
    </row>
    <row r="290" customFormat="false" ht="15" hidden="false" customHeight="false" outlineLevel="0" collapsed="false">
      <c r="A290" s="11" t="s">
        <v>278</v>
      </c>
      <c r="B290" s="11" t="s">
        <v>712</v>
      </c>
      <c r="C290" s="11" t="n">
        <v>1</v>
      </c>
      <c r="D290" s="12" t="n">
        <v>38</v>
      </c>
      <c r="E290" s="11" t="n">
        <v>1</v>
      </c>
      <c r="F290" s="12" t="n">
        <v>1000</v>
      </c>
      <c r="G290" s="11" t="s">
        <v>207</v>
      </c>
      <c r="H290" s="10"/>
      <c r="I290" s="10"/>
    </row>
    <row r="291" customFormat="false" ht="15" hidden="false" customHeight="false" outlineLevel="0" collapsed="false">
      <c r="A291" s="11" t="s">
        <v>278</v>
      </c>
      <c r="B291" s="11" t="s">
        <v>713</v>
      </c>
      <c r="C291" s="11" t="n">
        <v>1</v>
      </c>
      <c r="D291" s="12" t="n">
        <v>38</v>
      </c>
      <c r="E291" s="11" t="n">
        <v>1</v>
      </c>
      <c r="F291" s="12" t="n">
        <v>1000</v>
      </c>
      <c r="G291" s="11" t="s">
        <v>207</v>
      </c>
      <c r="H291" s="10"/>
      <c r="I291" s="10"/>
    </row>
    <row r="292" customFormat="false" ht="15" hidden="false" customHeight="false" outlineLevel="0" collapsed="false">
      <c r="A292" s="11" t="s">
        <v>278</v>
      </c>
      <c r="B292" s="11" t="s">
        <v>714</v>
      </c>
      <c r="C292" s="11" t="n">
        <v>1</v>
      </c>
      <c r="D292" s="12" t="n">
        <v>38</v>
      </c>
      <c r="E292" s="11" t="n">
        <v>1</v>
      </c>
      <c r="F292" s="12" t="n">
        <v>1000</v>
      </c>
      <c r="G292" s="11" t="s">
        <v>207</v>
      </c>
      <c r="H292" s="10"/>
      <c r="I292" s="10"/>
    </row>
    <row r="293" customFormat="false" ht="15" hidden="false" customHeight="false" outlineLevel="0" collapsed="false">
      <c r="A293" s="11" t="s">
        <v>715</v>
      </c>
      <c r="B293" s="11" t="s">
        <v>716</v>
      </c>
      <c r="C293" s="11" t="n">
        <v>1</v>
      </c>
      <c r="D293" s="12" t="n">
        <v>38</v>
      </c>
      <c r="E293" s="11" t="n">
        <v>1</v>
      </c>
      <c r="F293" s="12" t="n">
        <v>1000</v>
      </c>
      <c r="G293" s="11" t="s">
        <v>207</v>
      </c>
      <c r="H293" s="10"/>
      <c r="I293" s="10"/>
    </row>
    <row r="294" customFormat="false" ht="15" hidden="false" customHeight="false" outlineLevel="0" collapsed="false">
      <c r="A294" s="11" t="s">
        <v>717</v>
      </c>
      <c r="B294" s="11" t="s">
        <v>718</v>
      </c>
      <c r="C294" s="11" t="n">
        <v>1</v>
      </c>
      <c r="D294" s="12" t="n">
        <v>8.0366</v>
      </c>
      <c r="E294" s="11" t="n">
        <v>1</v>
      </c>
      <c r="F294" s="12" t="n">
        <v>150</v>
      </c>
      <c r="G294" s="11" t="s">
        <v>207</v>
      </c>
      <c r="H294" s="10"/>
      <c r="I294" s="10"/>
    </row>
    <row r="295" customFormat="false" ht="15" hidden="false" customHeight="false" outlineLevel="0" collapsed="false">
      <c r="A295" s="11" t="s">
        <v>352</v>
      </c>
      <c r="B295" s="11" t="s">
        <v>719</v>
      </c>
      <c r="C295" s="11" t="n">
        <v>1</v>
      </c>
      <c r="D295" s="12" t="n">
        <v>4.6461</v>
      </c>
      <c r="E295" s="11" t="n">
        <v>1</v>
      </c>
      <c r="F295" s="12" t="n">
        <v>110</v>
      </c>
      <c r="G295" s="11" t="s">
        <v>207</v>
      </c>
      <c r="H295" s="10"/>
      <c r="I295" s="10"/>
    </row>
    <row r="296" customFormat="false" ht="15" hidden="false" customHeight="false" outlineLevel="0" collapsed="false">
      <c r="A296" s="11" t="s">
        <v>411</v>
      </c>
      <c r="B296" s="11" t="s">
        <v>720</v>
      </c>
      <c r="C296" s="11" t="n">
        <v>1</v>
      </c>
      <c r="D296" s="12" t="n">
        <v>5.491</v>
      </c>
      <c r="E296" s="11" t="n">
        <v>1</v>
      </c>
      <c r="F296" s="12" t="n">
        <v>130</v>
      </c>
      <c r="G296" s="11" t="s">
        <v>207</v>
      </c>
      <c r="H296" s="10"/>
      <c r="I296" s="10"/>
    </row>
    <row r="297" customFormat="false" ht="15" hidden="false" customHeight="false" outlineLevel="0" collapsed="false">
      <c r="A297" s="11" t="s">
        <v>411</v>
      </c>
      <c r="B297" s="11" t="s">
        <v>721</v>
      </c>
      <c r="C297" s="11" t="n">
        <v>1</v>
      </c>
      <c r="D297" s="12" t="n">
        <v>5.491</v>
      </c>
      <c r="E297" s="11" t="n">
        <v>1</v>
      </c>
      <c r="F297" s="12" t="n">
        <v>130</v>
      </c>
      <c r="G297" s="11" t="s">
        <v>207</v>
      </c>
      <c r="H297" s="10"/>
      <c r="I297" s="10"/>
    </row>
    <row r="298" customFormat="false" ht="15" hidden="false" customHeight="false" outlineLevel="0" collapsed="false">
      <c r="A298" s="11" t="s">
        <v>389</v>
      </c>
      <c r="B298" s="11" t="s">
        <v>722</v>
      </c>
      <c r="C298" s="11" t="n">
        <v>1</v>
      </c>
      <c r="D298" s="12" t="n">
        <v>1.5</v>
      </c>
      <c r="E298" s="11" t="n">
        <v>1</v>
      </c>
      <c r="F298" s="12" t="n">
        <v>1000</v>
      </c>
      <c r="G298" s="11" t="s">
        <v>207</v>
      </c>
      <c r="H298" s="10"/>
      <c r="I298" s="10"/>
    </row>
    <row r="299" customFormat="false" ht="15" hidden="false" customHeight="false" outlineLevel="0" collapsed="false">
      <c r="A299" s="11" t="s">
        <v>407</v>
      </c>
      <c r="B299" s="11" t="s">
        <v>723</v>
      </c>
      <c r="C299" s="11" t="n">
        <v>1</v>
      </c>
      <c r="D299" s="12" t="n">
        <v>4.56</v>
      </c>
      <c r="E299" s="11" t="n">
        <v>1</v>
      </c>
      <c r="F299" s="12" t="n">
        <v>50</v>
      </c>
      <c r="G299" s="11" t="s">
        <v>207</v>
      </c>
      <c r="H299" s="10"/>
      <c r="I299" s="10"/>
    </row>
    <row r="300" customFormat="false" ht="15" hidden="false" customHeight="false" outlineLevel="0" collapsed="false">
      <c r="A300" s="11" t="s">
        <v>724</v>
      </c>
      <c r="B300" s="11" t="s">
        <v>725</v>
      </c>
      <c r="C300" s="11" t="n">
        <v>1</v>
      </c>
      <c r="D300" s="12" t="n">
        <v>30</v>
      </c>
      <c r="E300" s="11" t="n">
        <v>1</v>
      </c>
      <c r="F300" s="12" t="n">
        <v>1000</v>
      </c>
      <c r="G300" s="11" t="s">
        <v>207</v>
      </c>
      <c r="H300" s="10"/>
      <c r="I300" s="10"/>
    </row>
    <row r="301" customFormat="false" ht="15" hidden="false" customHeight="false" outlineLevel="0" collapsed="false">
      <c r="A301" s="11" t="s">
        <v>726</v>
      </c>
      <c r="B301" s="11" t="s">
        <v>727</v>
      </c>
      <c r="C301" s="11" t="n">
        <v>1</v>
      </c>
      <c r="D301" s="12" t="n">
        <v>8.99</v>
      </c>
      <c r="E301" s="11" t="n">
        <v>1</v>
      </c>
      <c r="F301" s="12" t="n">
        <v>1000</v>
      </c>
      <c r="G301" s="11" t="s">
        <v>207</v>
      </c>
      <c r="H301" s="10"/>
      <c r="I301" s="10"/>
    </row>
    <row r="302" customFormat="false" ht="15" hidden="false" customHeight="false" outlineLevel="0" collapsed="false">
      <c r="A302" s="11" t="s">
        <v>726</v>
      </c>
      <c r="B302" s="11" t="s">
        <v>726</v>
      </c>
      <c r="C302" s="11" t="n">
        <v>1</v>
      </c>
      <c r="D302" s="12" t="n">
        <v>8.99</v>
      </c>
      <c r="E302" s="11" t="n">
        <v>1</v>
      </c>
      <c r="F302" s="12" t="n">
        <v>1000</v>
      </c>
      <c r="G302" s="11" t="s">
        <v>207</v>
      </c>
      <c r="H302" s="10"/>
      <c r="I302" s="10"/>
    </row>
    <row r="303" customFormat="false" ht="15" hidden="false" customHeight="false" outlineLevel="0" collapsed="false">
      <c r="A303" s="11" t="s">
        <v>728</v>
      </c>
      <c r="B303" s="11" t="s">
        <v>729</v>
      </c>
      <c r="C303" s="11" t="n">
        <v>1</v>
      </c>
      <c r="D303" s="12" t="n">
        <v>82</v>
      </c>
      <c r="E303" s="11" t="n">
        <v>1</v>
      </c>
      <c r="F303" s="12" t="n">
        <v>100</v>
      </c>
      <c r="G303" s="11" t="s">
        <v>207</v>
      </c>
      <c r="H303" s="10"/>
      <c r="I303" s="10"/>
    </row>
    <row r="304" customFormat="false" ht="15" hidden="false" customHeight="false" outlineLevel="0" collapsed="false">
      <c r="A304" s="11" t="s">
        <v>730</v>
      </c>
      <c r="B304" s="11" t="s">
        <v>731</v>
      </c>
      <c r="C304" s="11" t="n">
        <v>1</v>
      </c>
      <c r="D304" s="12" t="n">
        <v>99.9</v>
      </c>
      <c r="E304" s="11" t="n">
        <v>1</v>
      </c>
      <c r="F304" s="12" t="n">
        <v>1000</v>
      </c>
      <c r="G304" s="11" t="s">
        <v>207</v>
      </c>
      <c r="H304" s="10"/>
      <c r="I304" s="10"/>
    </row>
    <row r="305" customFormat="false" ht="15" hidden="false" customHeight="false" outlineLevel="0" collapsed="false">
      <c r="A305" s="11" t="s">
        <v>730</v>
      </c>
      <c r="B305" s="11" t="s">
        <v>732</v>
      </c>
      <c r="C305" s="11" t="n">
        <v>1</v>
      </c>
      <c r="D305" s="12" t="n">
        <v>99.9</v>
      </c>
      <c r="E305" s="11" t="n">
        <v>1</v>
      </c>
      <c r="F305" s="12" t="n">
        <v>1000</v>
      </c>
      <c r="G305" s="11" t="s">
        <v>207</v>
      </c>
      <c r="H305" s="10"/>
      <c r="I305" s="10"/>
    </row>
    <row r="306" customFormat="false" ht="15" hidden="false" customHeight="false" outlineLevel="0" collapsed="false">
      <c r="A306" s="11" t="s">
        <v>733</v>
      </c>
      <c r="B306" s="11" t="s">
        <v>734</v>
      </c>
      <c r="C306" s="11" t="n">
        <v>1</v>
      </c>
      <c r="D306" s="12" t="n">
        <v>109.9</v>
      </c>
      <c r="E306" s="11" t="n">
        <v>1</v>
      </c>
      <c r="F306" s="12" t="n">
        <v>1000</v>
      </c>
      <c r="G306" s="11" t="s">
        <v>207</v>
      </c>
      <c r="H306" s="10"/>
      <c r="I306" s="10"/>
    </row>
    <row r="307" customFormat="false" ht="15" hidden="false" customHeight="false" outlineLevel="0" collapsed="false">
      <c r="A307" s="11" t="s">
        <v>733</v>
      </c>
      <c r="B307" s="11" t="s">
        <v>735</v>
      </c>
      <c r="C307" s="11" t="n">
        <v>1</v>
      </c>
      <c r="D307" s="12" t="n">
        <v>109.9</v>
      </c>
      <c r="E307" s="11" t="n">
        <v>1</v>
      </c>
      <c r="F307" s="12" t="n">
        <v>1000</v>
      </c>
      <c r="G307" s="11" t="s">
        <v>207</v>
      </c>
      <c r="H307" s="10"/>
      <c r="I307" s="10"/>
    </row>
    <row r="308" customFormat="false" ht="15" hidden="false" customHeight="false" outlineLevel="0" collapsed="false">
      <c r="A308" s="11" t="s">
        <v>291</v>
      </c>
      <c r="B308" s="11" t="s">
        <v>455</v>
      </c>
      <c r="C308" s="11" t="n">
        <v>1</v>
      </c>
      <c r="D308" s="12" t="n">
        <v>14</v>
      </c>
      <c r="E308" s="11" t="n">
        <v>1</v>
      </c>
      <c r="F308" s="12" t="n">
        <v>200</v>
      </c>
      <c r="G308" s="11" t="s">
        <v>207</v>
      </c>
      <c r="H308" s="10"/>
      <c r="I308" s="10"/>
    </row>
    <row r="309" customFormat="false" ht="15" hidden="false" customHeight="false" outlineLevel="0" collapsed="false">
      <c r="A309" s="11" t="s">
        <v>736</v>
      </c>
      <c r="B309" s="11" t="s">
        <v>737</v>
      </c>
      <c r="C309" s="11" t="n">
        <v>1</v>
      </c>
      <c r="D309" s="12" t="n">
        <v>95</v>
      </c>
      <c r="E309" s="11" t="n">
        <v>1</v>
      </c>
      <c r="F309" s="12" t="n">
        <v>8</v>
      </c>
      <c r="G309" s="11" t="s">
        <v>210</v>
      </c>
      <c r="H309" s="10"/>
      <c r="I309" s="10"/>
    </row>
    <row r="310" customFormat="false" ht="15" hidden="false" customHeight="false" outlineLevel="0" collapsed="false">
      <c r="A310" s="11" t="s">
        <v>738</v>
      </c>
      <c r="B310" s="11" t="s">
        <v>739</v>
      </c>
      <c r="C310" s="11" t="n">
        <v>1</v>
      </c>
      <c r="D310" s="12" t="n">
        <v>310.5</v>
      </c>
      <c r="E310" s="11" t="n">
        <v>1</v>
      </c>
      <c r="F310" s="12" t="n">
        <v>50</v>
      </c>
      <c r="G310" s="11" t="s">
        <v>210</v>
      </c>
      <c r="H310" s="10"/>
      <c r="I310" s="10"/>
    </row>
    <row r="311" customFormat="false" ht="15" hidden="false" customHeight="false" outlineLevel="0" collapsed="false">
      <c r="A311" s="11" t="s">
        <v>740</v>
      </c>
      <c r="B311" s="11" t="s">
        <v>741</v>
      </c>
      <c r="C311" s="11" t="n">
        <v>1</v>
      </c>
      <c r="D311" s="12" t="n">
        <v>459</v>
      </c>
      <c r="E311" s="11" t="n">
        <v>1</v>
      </c>
      <c r="F311" s="12" t="n">
        <v>50</v>
      </c>
      <c r="G311" s="11" t="s">
        <v>210</v>
      </c>
      <c r="H311" s="10"/>
      <c r="I311" s="10"/>
    </row>
    <row r="312" customFormat="false" ht="15" hidden="false" customHeight="false" outlineLevel="0" collapsed="false">
      <c r="A312" s="11" t="s">
        <v>742</v>
      </c>
      <c r="B312" s="11" t="s">
        <v>743</v>
      </c>
      <c r="C312" s="11" t="n">
        <v>1</v>
      </c>
      <c r="D312" s="12" t="n">
        <v>0.37</v>
      </c>
      <c r="E312" s="11" t="n">
        <v>1</v>
      </c>
      <c r="F312" s="12" t="n">
        <v>1</v>
      </c>
      <c r="G312" s="11" t="s">
        <v>210</v>
      </c>
      <c r="H312" s="10"/>
      <c r="I312" s="10"/>
    </row>
    <row r="313" customFormat="false" ht="15" hidden="false" customHeight="false" outlineLevel="0" collapsed="false">
      <c r="A313" s="11" t="s">
        <v>744</v>
      </c>
      <c r="B313" s="11" t="s">
        <v>745</v>
      </c>
      <c r="C313" s="11" t="n">
        <v>1</v>
      </c>
      <c r="D313" s="12" t="n">
        <v>458</v>
      </c>
      <c r="E313" s="11" t="n">
        <v>1</v>
      </c>
      <c r="F313" s="12" t="n">
        <v>1</v>
      </c>
      <c r="G313" s="11" t="s">
        <v>210</v>
      </c>
      <c r="H313" s="10"/>
      <c r="I313" s="10"/>
    </row>
    <row r="314" customFormat="false" ht="15" hidden="false" customHeight="false" outlineLevel="0" collapsed="false">
      <c r="A314" s="11" t="s">
        <v>746</v>
      </c>
      <c r="B314" s="11" t="s">
        <v>747</v>
      </c>
      <c r="C314" s="11" t="n">
        <v>1</v>
      </c>
      <c r="D314" s="12" t="n">
        <v>1.44</v>
      </c>
      <c r="E314" s="11" t="n">
        <v>1</v>
      </c>
      <c r="F314" s="12" t="n">
        <v>1</v>
      </c>
      <c r="G314" s="11" t="s">
        <v>210</v>
      </c>
      <c r="H314" s="10"/>
      <c r="I314" s="10"/>
    </row>
    <row r="315" customFormat="false" ht="15" hidden="false" customHeight="false" outlineLevel="0" collapsed="false">
      <c r="A315" s="11" t="s">
        <v>748</v>
      </c>
      <c r="B315" s="11" t="s">
        <v>749</v>
      </c>
      <c r="C315" s="11" t="n">
        <v>1</v>
      </c>
      <c r="D315" s="12" t="n">
        <v>7.04</v>
      </c>
      <c r="E315" s="11" t="n">
        <v>1</v>
      </c>
      <c r="F315" s="12" t="n">
        <v>1</v>
      </c>
      <c r="G315" s="11" t="s">
        <v>210</v>
      </c>
      <c r="H315" s="10"/>
      <c r="I315" s="10"/>
    </row>
    <row r="316" customFormat="false" ht="15" hidden="false" customHeight="false" outlineLevel="0" collapsed="false">
      <c r="A316" s="11" t="s">
        <v>750</v>
      </c>
      <c r="B316" s="11" t="s">
        <v>751</v>
      </c>
      <c r="C316" s="11" t="n">
        <v>1</v>
      </c>
      <c r="D316" s="12" t="n">
        <v>21.9</v>
      </c>
      <c r="E316" s="11" t="n">
        <v>1</v>
      </c>
      <c r="F316" s="12" t="n">
        <v>1</v>
      </c>
      <c r="G316" s="11" t="s">
        <v>210</v>
      </c>
      <c r="H316" s="10"/>
      <c r="I316" s="10"/>
    </row>
    <row r="317" customFormat="false" ht="15" hidden="false" customHeight="false" outlineLevel="0" collapsed="false">
      <c r="A317" s="11" t="s">
        <v>752</v>
      </c>
      <c r="B317" s="11" t="s">
        <v>753</v>
      </c>
      <c r="C317" s="11" t="n">
        <v>1</v>
      </c>
      <c r="D317" s="12" t="n">
        <v>35</v>
      </c>
      <c r="E317" s="11" t="n">
        <v>1</v>
      </c>
      <c r="F317" s="12" t="n">
        <v>1000</v>
      </c>
      <c r="G317" s="11" t="s">
        <v>207</v>
      </c>
      <c r="H317" s="10"/>
      <c r="I317" s="10"/>
    </row>
    <row r="318" customFormat="false" ht="15" hidden="false" customHeight="false" outlineLevel="0" collapsed="false">
      <c r="A318" s="11" t="s">
        <v>752</v>
      </c>
      <c r="B318" s="11" t="s">
        <v>754</v>
      </c>
      <c r="C318" s="11" t="n">
        <v>1</v>
      </c>
      <c r="D318" s="12" t="n">
        <v>35</v>
      </c>
      <c r="E318" s="11" t="n">
        <v>1</v>
      </c>
      <c r="F318" s="12" t="n">
        <v>1000</v>
      </c>
      <c r="G318" s="11" t="s">
        <v>207</v>
      </c>
      <c r="H318" s="10"/>
      <c r="I318" s="10"/>
    </row>
    <row r="319" customFormat="false" ht="15" hidden="false" customHeight="false" outlineLevel="0" collapsed="false">
      <c r="A319" s="11" t="s">
        <v>755</v>
      </c>
      <c r="B319" s="11" t="s">
        <v>756</v>
      </c>
      <c r="C319" s="11" t="n">
        <v>1</v>
      </c>
      <c r="D319" s="12" t="n">
        <v>5.5</v>
      </c>
      <c r="E319" s="11" t="n">
        <v>1</v>
      </c>
      <c r="F319" s="12" t="n">
        <v>1</v>
      </c>
      <c r="G319" s="11" t="s">
        <v>210</v>
      </c>
      <c r="H319" s="10"/>
      <c r="I319" s="10"/>
    </row>
    <row r="320" customFormat="false" ht="15" hidden="false" customHeight="false" outlineLevel="0" collapsed="false">
      <c r="A320" s="11" t="s">
        <v>389</v>
      </c>
      <c r="B320" s="11" t="s">
        <v>757</v>
      </c>
      <c r="C320" s="11" t="n">
        <v>1</v>
      </c>
      <c r="D320" s="12" t="n">
        <v>1.5</v>
      </c>
      <c r="E320" s="11" t="n">
        <v>1</v>
      </c>
      <c r="F320" s="12" t="n">
        <v>1000</v>
      </c>
      <c r="G320" s="11" t="s">
        <v>207</v>
      </c>
      <c r="H320" s="10"/>
      <c r="I320" s="10"/>
    </row>
    <row r="321" customFormat="false" ht="15" hidden="false" customHeight="false" outlineLevel="0" collapsed="false">
      <c r="A321" s="11" t="s">
        <v>389</v>
      </c>
      <c r="B321" s="11" t="s">
        <v>758</v>
      </c>
      <c r="C321" s="11" t="n">
        <v>1</v>
      </c>
      <c r="D321" s="12" t="n">
        <v>1.5</v>
      </c>
      <c r="E321" s="11" t="n">
        <v>1</v>
      </c>
      <c r="F321" s="12" t="n">
        <v>1000</v>
      </c>
      <c r="G321" s="11" t="s">
        <v>207</v>
      </c>
      <c r="H321" s="10"/>
      <c r="I321" s="10"/>
    </row>
    <row r="322" customFormat="false" ht="15" hidden="false" customHeight="false" outlineLevel="0" collapsed="false">
      <c r="A322" s="11" t="s">
        <v>759</v>
      </c>
      <c r="B322" s="11" t="s">
        <v>760</v>
      </c>
      <c r="C322" s="11" t="n">
        <v>1</v>
      </c>
      <c r="D322" s="12" t="n">
        <v>119.48</v>
      </c>
      <c r="E322" s="11" t="n">
        <v>1</v>
      </c>
      <c r="F322" s="12" t="n">
        <v>1000</v>
      </c>
      <c r="G322" s="11" t="s">
        <v>204</v>
      </c>
      <c r="H322" s="10"/>
      <c r="I322" s="10"/>
    </row>
    <row r="323" customFormat="false" ht="15" hidden="false" customHeight="false" outlineLevel="0" collapsed="false">
      <c r="A323" s="11" t="s">
        <v>761</v>
      </c>
      <c r="B323" s="11" t="s">
        <v>762</v>
      </c>
      <c r="C323" s="11" t="n">
        <v>1</v>
      </c>
      <c r="D323" s="12" t="n">
        <v>10</v>
      </c>
      <c r="E323" s="11" t="n">
        <v>1</v>
      </c>
      <c r="F323" s="12" t="n">
        <v>1000</v>
      </c>
      <c r="G323" s="11" t="s">
        <v>204</v>
      </c>
      <c r="H323" s="10"/>
      <c r="I323" s="10"/>
    </row>
    <row r="324" customFormat="false" ht="15" hidden="false" customHeight="false" outlineLevel="0" collapsed="false">
      <c r="A324" s="11" t="s">
        <v>763</v>
      </c>
      <c r="B324" s="11" t="s">
        <v>763</v>
      </c>
      <c r="C324" s="11" t="n">
        <v>1</v>
      </c>
      <c r="D324" s="12" t="n">
        <v>4.49</v>
      </c>
      <c r="E324" s="11" t="n">
        <v>1</v>
      </c>
      <c r="F324" s="12" t="n">
        <v>150</v>
      </c>
      <c r="G324" s="11" t="s">
        <v>207</v>
      </c>
      <c r="H324" s="10"/>
      <c r="I324" s="10"/>
    </row>
    <row r="325" customFormat="false" ht="15" hidden="false" customHeight="false" outlineLevel="0" collapsed="false">
      <c r="A325" s="11" t="s">
        <v>764</v>
      </c>
      <c r="B325" s="11" t="s">
        <v>764</v>
      </c>
      <c r="C325" s="11" t="n">
        <v>1</v>
      </c>
      <c r="D325" s="12" t="n">
        <v>25.9</v>
      </c>
      <c r="E325" s="11" t="n">
        <v>1</v>
      </c>
      <c r="F325" s="12" t="n">
        <v>500</v>
      </c>
      <c r="G325" s="11" t="s">
        <v>204</v>
      </c>
      <c r="H325" s="10"/>
      <c r="I325" s="10"/>
    </row>
    <row r="326" customFormat="false" ht="15" hidden="false" customHeight="false" outlineLevel="0" collapsed="false">
      <c r="A326" s="11" t="s">
        <v>765</v>
      </c>
      <c r="B326" s="11" t="s">
        <v>766</v>
      </c>
      <c r="C326" s="11" t="n">
        <v>1</v>
      </c>
      <c r="D326" s="12" t="n">
        <v>9.98</v>
      </c>
      <c r="E326" s="11" t="n">
        <v>1</v>
      </c>
      <c r="F326" s="12" t="n">
        <v>1000</v>
      </c>
      <c r="G326" s="11" t="s">
        <v>207</v>
      </c>
      <c r="H326" s="10"/>
      <c r="I326" s="10"/>
    </row>
    <row r="327" customFormat="false" ht="15" hidden="false" customHeight="false" outlineLevel="0" collapsed="false">
      <c r="A327" s="11" t="s">
        <v>394</v>
      </c>
      <c r="B327" s="11" t="s">
        <v>767</v>
      </c>
      <c r="C327" s="11" t="n">
        <v>1</v>
      </c>
      <c r="D327" s="12" t="n">
        <v>9.98</v>
      </c>
      <c r="E327" s="11" t="n">
        <v>1</v>
      </c>
      <c r="F327" s="12" t="n">
        <v>1000</v>
      </c>
      <c r="G327" s="11" t="s">
        <v>207</v>
      </c>
      <c r="H327" s="10"/>
      <c r="I327" s="10"/>
    </row>
    <row r="328" customFormat="false" ht="15" hidden="false" customHeight="false" outlineLevel="0" collapsed="false">
      <c r="A328" s="11" t="s">
        <v>394</v>
      </c>
      <c r="B328" s="11" t="s">
        <v>768</v>
      </c>
      <c r="C328" s="11" t="n">
        <v>1</v>
      </c>
      <c r="D328" s="12" t="n">
        <v>9.98</v>
      </c>
      <c r="E328" s="11" t="n">
        <v>1</v>
      </c>
      <c r="F328" s="12" t="n">
        <v>1000</v>
      </c>
      <c r="G328" s="11" t="s">
        <v>207</v>
      </c>
      <c r="H328" s="10"/>
      <c r="I328" s="10"/>
    </row>
    <row r="329" customFormat="false" ht="15" hidden="false" customHeight="false" outlineLevel="0" collapsed="false">
      <c r="A329" s="11" t="s">
        <v>769</v>
      </c>
      <c r="B329" s="11" t="s">
        <v>770</v>
      </c>
      <c r="C329" s="11" t="n">
        <v>1</v>
      </c>
      <c r="D329" s="12" t="n">
        <v>26</v>
      </c>
      <c r="E329" s="11" t="n">
        <v>1</v>
      </c>
      <c r="F329" s="12" t="n">
        <v>100</v>
      </c>
      <c r="G329" s="11" t="s">
        <v>207</v>
      </c>
      <c r="H329" s="10"/>
      <c r="I329" s="10"/>
    </row>
    <row r="330" customFormat="false" ht="15" hidden="false" customHeight="false" outlineLevel="0" collapsed="false">
      <c r="A330" s="11" t="s">
        <v>771</v>
      </c>
      <c r="B330" s="11" t="s">
        <v>772</v>
      </c>
      <c r="C330" s="11" t="n">
        <v>1</v>
      </c>
      <c r="D330" s="12" t="n">
        <v>10</v>
      </c>
      <c r="E330" s="11" t="n">
        <v>1</v>
      </c>
      <c r="F330" s="12" t="n">
        <v>900</v>
      </c>
      <c r="G330" s="11" t="s">
        <v>207</v>
      </c>
      <c r="H330" s="10"/>
      <c r="I330" s="10"/>
    </row>
    <row r="331" customFormat="false" ht="15" hidden="false" customHeight="false" outlineLevel="0" collapsed="false">
      <c r="A331" s="11" t="s">
        <v>773</v>
      </c>
      <c r="B331" s="11" t="s">
        <v>774</v>
      </c>
      <c r="C331" s="11" t="n">
        <v>1</v>
      </c>
      <c r="D331" s="12" t="n">
        <v>58</v>
      </c>
      <c r="E331" s="11" t="n">
        <v>1</v>
      </c>
      <c r="F331" s="12" t="n">
        <v>1000</v>
      </c>
      <c r="G331" s="11" t="s">
        <v>207</v>
      </c>
      <c r="H331" s="10"/>
      <c r="I331" s="10"/>
    </row>
    <row r="332" customFormat="false" ht="15" hidden="false" customHeight="false" outlineLevel="0" collapsed="false">
      <c r="A332" s="11" t="s">
        <v>775</v>
      </c>
      <c r="B332" s="11" t="s">
        <v>776</v>
      </c>
      <c r="C332" s="11" t="n">
        <v>1</v>
      </c>
      <c r="D332" s="12" t="n">
        <v>1.1</v>
      </c>
      <c r="E332" s="11" t="n">
        <v>1</v>
      </c>
      <c r="F332" s="12" t="n">
        <v>1</v>
      </c>
      <c r="G332" s="11" t="s">
        <v>210</v>
      </c>
      <c r="H332" s="10"/>
      <c r="I332" s="10"/>
    </row>
    <row r="333" customFormat="false" ht="15" hidden="false" customHeight="false" outlineLevel="0" collapsed="false">
      <c r="A333" s="11" t="s">
        <v>777</v>
      </c>
      <c r="B333" s="11" t="s">
        <v>778</v>
      </c>
      <c r="C333" s="11" t="n">
        <v>1</v>
      </c>
      <c r="D333" s="12" t="n">
        <v>64</v>
      </c>
      <c r="E333" s="11" t="n">
        <v>1</v>
      </c>
      <c r="F333" s="12" t="n">
        <v>700</v>
      </c>
      <c r="G333" s="11" t="s">
        <v>204</v>
      </c>
      <c r="H333" s="10"/>
      <c r="I333" s="10"/>
    </row>
    <row r="334" customFormat="false" ht="15" hidden="false" customHeight="false" outlineLevel="0" collapsed="false">
      <c r="A334" s="11" t="s">
        <v>779</v>
      </c>
      <c r="B334" s="11" t="s">
        <v>780</v>
      </c>
      <c r="C334" s="11" t="n">
        <v>1</v>
      </c>
      <c r="D334" s="12" t="n">
        <v>4</v>
      </c>
      <c r="E334" s="11" t="n">
        <v>1</v>
      </c>
      <c r="F334" s="12" t="n">
        <v>1</v>
      </c>
      <c r="G334" s="11" t="s">
        <v>210</v>
      </c>
      <c r="H334" s="10"/>
      <c r="I334" s="10"/>
    </row>
    <row r="335" customFormat="false" ht="15" hidden="false" customHeight="false" outlineLevel="0" collapsed="false">
      <c r="A335" s="11" t="s">
        <v>781</v>
      </c>
      <c r="B335" s="11" t="s">
        <v>782</v>
      </c>
      <c r="C335" s="11" t="n">
        <v>1</v>
      </c>
      <c r="D335" s="12" t="n">
        <v>24.9</v>
      </c>
      <c r="E335" s="11" t="n">
        <v>1</v>
      </c>
      <c r="F335" s="12" t="n">
        <v>24</v>
      </c>
      <c r="G335" s="11" t="s">
        <v>210</v>
      </c>
      <c r="H335" s="10"/>
      <c r="I335" s="10"/>
    </row>
    <row r="336" customFormat="false" ht="15" hidden="false" customHeight="false" outlineLevel="0" collapsed="false">
      <c r="A336" s="11" t="s">
        <v>264</v>
      </c>
      <c r="B336" s="11" t="s">
        <v>264</v>
      </c>
      <c r="C336" s="11" t="n">
        <v>1</v>
      </c>
      <c r="D336" s="12" t="n">
        <v>1</v>
      </c>
      <c r="E336" s="11" t="n">
        <v>1</v>
      </c>
      <c r="F336" s="12" t="n">
        <v>1000</v>
      </c>
      <c r="G336" s="11" t="s">
        <v>207</v>
      </c>
      <c r="H336" s="10"/>
      <c r="I33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33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7" t="s">
        <v>783</v>
      </c>
      <c r="B1" s="7" t="s">
        <v>784</v>
      </c>
      <c r="C1" s="7" t="s">
        <v>785</v>
      </c>
      <c r="D1" s="7" t="s">
        <v>786</v>
      </c>
      <c r="E1" s="7" t="s">
        <v>787</v>
      </c>
    </row>
    <row r="2" customFormat="false" ht="23.85" hidden="false" customHeight="false" outlineLevel="0" collapsed="false">
      <c r="A2" s="11" t="s">
        <v>788</v>
      </c>
      <c r="B2" s="11" t="s">
        <v>789</v>
      </c>
      <c r="C2" s="11" t="s">
        <v>790</v>
      </c>
      <c r="D2" s="11" t="s">
        <v>791</v>
      </c>
      <c r="E2" s="11" t="s">
        <v>792</v>
      </c>
    </row>
    <row r="3" customFormat="false" ht="15" hidden="false" customHeight="false" outlineLevel="0" collapsed="false">
      <c r="A3" s="11" t="s">
        <v>793</v>
      </c>
      <c r="B3" s="11" t="s">
        <v>794</v>
      </c>
      <c r="C3" s="11" t="s">
        <v>795</v>
      </c>
      <c r="D3" s="11" t="s">
        <v>796</v>
      </c>
      <c r="E3" s="11" t="s">
        <v>797</v>
      </c>
    </row>
    <row r="4" customFormat="false" ht="23.85" hidden="false" customHeight="false" outlineLevel="0" collapsed="false">
      <c r="A4" s="11" t="s">
        <v>793</v>
      </c>
      <c r="B4" s="11" t="s">
        <v>798</v>
      </c>
      <c r="C4" s="11" t="s">
        <v>799</v>
      </c>
      <c r="D4" s="11" t="s">
        <v>800</v>
      </c>
      <c r="E4" s="11" t="s">
        <v>797</v>
      </c>
    </row>
    <row r="5" customFormat="false" ht="15" hidden="false" customHeight="false" outlineLevel="0" collapsed="false">
      <c r="A5" s="11" t="s">
        <v>793</v>
      </c>
      <c r="B5" s="11" t="s">
        <v>801</v>
      </c>
      <c r="C5" s="11" t="s">
        <v>802</v>
      </c>
      <c r="D5" s="11" t="s">
        <v>803</v>
      </c>
      <c r="E5" s="11" t="s">
        <v>797</v>
      </c>
    </row>
    <row r="6" customFormat="false" ht="23.85" hidden="false" customHeight="false" outlineLevel="0" collapsed="false">
      <c r="A6" s="11" t="s">
        <v>804</v>
      </c>
      <c r="B6" s="11" t="s">
        <v>805</v>
      </c>
      <c r="C6" s="11" t="s">
        <v>806</v>
      </c>
      <c r="D6" s="11" t="s">
        <v>807</v>
      </c>
      <c r="E6" s="11" t="s">
        <v>808</v>
      </c>
    </row>
    <row r="7" customFormat="false" ht="23.85" hidden="false" customHeight="false" outlineLevel="0" collapsed="false">
      <c r="A7" s="11" t="s">
        <v>809</v>
      </c>
      <c r="B7" s="11" t="s">
        <v>810</v>
      </c>
      <c r="C7" s="11" t="s">
        <v>811</v>
      </c>
      <c r="D7" s="11" t="s">
        <v>812</v>
      </c>
      <c r="E7" s="11" t="s">
        <v>813</v>
      </c>
    </row>
    <row r="8" customFormat="false" ht="23.85" hidden="false" customHeight="false" outlineLevel="0" collapsed="false">
      <c r="A8" s="11" t="s">
        <v>814</v>
      </c>
      <c r="B8" s="11" t="s">
        <v>815</v>
      </c>
      <c r="C8" s="11" t="s">
        <v>816</v>
      </c>
      <c r="D8" s="11" t="s">
        <v>817</v>
      </c>
      <c r="E8" s="11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2026-09-03T12:35:53Z</dcterms:created>
  <dc:creator>openpyxl</dc:creator>
  <dc:description/>
  <dc:language>en-US</dc:language>
  <cp:lastModifiedBy/>
  <dcterms:modified xsi:type="dcterms:W3CDTF">2026-09-03T12:35:53Z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